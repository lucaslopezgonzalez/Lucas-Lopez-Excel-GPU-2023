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ucas\Desktop\CV y tal\"/>
    </mc:Choice>
  </mc:AlternateContent>
  <xr:revisionPtr revIDLastSave="0" documentId="13_ncr:1_{64FA476A-34D8-494E-9618-50FA68F3EEE5}" xr6:coauthVersionLast="47" xr6:coauthVersionMax="47" xr10:uidLastSave="{00000000-0000-0000-0000-000000000000}"/>
  <bookViews>
    <workbookView xWindow="-108" yWindow="-108" windowWidth="23256" windowHeight="12456" tabRatio="505" activeTab="2" xr2:uid="{68F41BC9-919E-4749-8E5B-489551E72426}"/>
  </bookViews>
  <sheets>
    <sheet name="GPU" sheetId="2" r:id="rId1"/>
    <sheet name="Rendiment" sheetId="3" r:id="rId2"/>
    <sheet name="Recomendador" sheetId="6" r:id="rId3"/>
  </sheets>
  <definedNames>
    <definedName name="_xlnm._FilterDatabase" localSheetId="0" hidden="1">GPU!$C$3:$L$30</definedName>
    <definedName name="_xlnm.Criteria" localSheetId="0">GPU!#REF!</definedName>
    <definedName name="SegmentaciónDeDatos_Arquitectura">#N/A</definedName>
    <definedName name="SegmentaciónDeDatos_Gama">#N/A</definedName>
    <definedName name="SegmentaciónDeDatos_Memoria_VRAM">#N/A</definedName>
    <definedName name="SegmentaciónDeDatos_Ray_Tracing">#N/A</definedName>
    <definedName name="SegmentaciónDeDatos_Resolució_Estable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N4" i="6"/>
  <c r="D4" i="6"/>
  <c r="Q4" i="6" s="1"/>
  <c r="E4" i="6"/>
  <c r="F4" i="6"/>
  <c r="L4" i="6"/>
  <c r="D4" i="2" a="1"/>
  <c r="D4" i="2" s="1"/>
  <c r="E58" i="6"/>
  <c r="D58" i="6"/>
  <c r="F58" i="6"/>
  <c r="L28" i="6"/>
  <c r="W39" i="6" s="1"/>
  <c r="D30" i="6"/>
  <c r="D35" i="6" s="1"/>
  <c r="D6" i="6"/>
  <c r="Q6" i="6" s="1"/>
  <c r="D7" i="6"/>
  <c r="Q13" i="6" s="1"/>
  <c r="D8" i="6"/>
  <c r="Q14" i="6" s="1"/>
  <c r="D9" i="6"/>
  <c r="Q15" i="6" s="1"/>
  <c r="D10" i="6"/>
  <c r="Q16" i="6" s="1"/>
  <c r="D11" i="6"/>
  <c r="Q22" i="6" s="1"/>
  <c r="D12" i="6"/>
  <c r="Q23" i="6" s="1"/>
  <c r="D13" i="6"/>
  <c r="Q31" i="6" s="1"/>
  <c r="D14" i="6"/>
  <c r="Q32" i="6" s="1"/>
  <c r="D15" i="6"/>
  <c r="Q33" i="6" s="1"/>
  <c r="D16" i="6"/>
  <c r="Q34" i="6" s="1"/>
  <c r="D17" i="6"/>
  <c r="Q35" i="6" s="1"/>
  <c r="D18" i="6"/>
  <c r="Q7" i="6" s="1"/>
  <c r="D19" i="6"/>
  <c r="Q8" i="6" s="1"/>
  <c r="D20" i="6"/>
  <c r="Q17" i="6" s="1"/>
  <c r="D21" i="6"/>
  <c r="Q18" i="6" s="1"/>
  <c r="D22" i="6"/>
  <c r="Q25" i="6" s="1"/>
  <c r="D23" i="6"/>
  <c r="Q26" i="6" s="1"/>
  <c r="D24" i="6"/>
  <c r="Q27" i="6" s="1"/>
  <c r="D25" i="6"/>
  <c r="Q36" i="6" s="1"/>
  <c r="D26" i="6"/>
  <c r="Q37" i="6" s="1"/>
  <c r="D27" i="6"/>
  <c r="Q38" i="6" s="1"/>
  <c r="D28" i="6"/>
  <c r="Q39" i="6" s="1"/>
  <c r="D29" i="6"/>
  <c r="Q40" i="6" s="1"/>
  <c r="D5" i="6"/>
  <c r="Q5" i="6" s="1"/>
  <c r="E5" i="6"/>
  <c r="R5" i="6" s="1"/>
  <c r="F5" i="6"/>
  <c r="S5" i="6" s="1"/>
  <c r="E7" i="6"/>
  <c r="R13" i="6" s="1"/>
  <c r="E6" i="6"/>
  <c r="R6" i="6" s="1"/>
  <c r="E8" i="6"/>
  <c r="R14" i="6" s="1"/>
  <c r="E9" i="6"/>
  <c r="R15" i="6" s="1"/>
  <c r="E10" i="6"/>
  <c r="R16" i="6" s="1"/>
  <c r="E11" i="6"/>
  <c r="R22" i="6" s="1"/>
  <c r="E12" i="6"/>
  <c r="R23" i="6" s="1"/>
  <c r="E13" i="6"/>
  <c r="R24" i="6" s="1"/>
  <c r="E14" i="6"/>
  <c r="R32" i="6" s="1"/>
  <c r="E15" i="6"/>
  <c r="R33" i="6" s="1"/>
  <c r="E16" i="6"/>
  <c r="R34" i="6" s="1"/>
  <c r="E17" i="6"/>
  <c r="R35" i="6" s="1"/>
  <c r="E18" i="6"/>
  <c r="R7" i="6" s="1"/>
  <c r="E19" i="6"/>
  <c r="R8" i="6" s="1"/>
  <c r="E20" i="6"/>
  <c r="R17" i="6" s="1"/>
  <c r="E21" i="6"/>
  <c r="R18" i="6" s="1"/>
  <c r="E22" i="6"/>
  <c r="R25" i="6" s="1"/>
  <c r="E23" i="6"/>
  <c r="R26" i="6" s="1"/>
  <c r="E24" i="6"/>
  <c r="R27" i="6" s="1"/>
  <c r="E25" i="6"/>
  <c r="R36" i="6" s="1"/>
  <c r="E26" i="6"/>
  <c r="R37" i="6" s="1"/>
  <c r="E27" i="6"/>
  <c r="R38" i="6" s="1"/>
  <c r="E28" i="6"/>
  <c r="R39" i="6" s="1"/>
  <c r="E29" i="6"/>
  <c r="R40" i="6" s="1"/>
  <c r="E30" i="6"/>
  <c r="R41" i="6" s="1"/>
  <c r="L6" i="6"/>
  <c r="W6" i="6" s="1"/>
  <c r="L7" i="6"/>
  <c r="W13" i="6" s="1"/>
  <c r="L8" i="6"/>
  <c r="W14" i="6" s="1"/>
  <c r="L9" i="6"/>
  <c r="W15" i="6" s="1"/>
  <c r="L10" i="6"/>
  <c r="W16" i="6" s="1"/>
  <c r="L11" i="6"/>
  <c r="W22" i="6" s="1"/>
  <c r="L12" i="6"/>
  <c r="W23" i="6" s="1"/>
  <c r="L13" i="6"/>
  <c r="W31" i="6" s="1"/>
  <c r="L14" i="6"/>
  <c r="W32" i="6" s="1"/>
  <c r="L15" i="6"/>
  <c r="W33" i="6" s="1"/>
  <c r="L16" i="6"/>
  <c r="W34" i="6" s="1"/>
  <c r="L17" i="6"/>
  <c r="W35" i="6" s="1"/>
  <c r="L18" i="6"/>
  <c r="W7" i="6" s="1"/>
  <c r="L19" i="6"/>
  <c r="W8" i="6" s="1"/>
  <c r="L20" i="6"/>
  <c r="W9" i="6" s="1"/>
  <c r="L21" i="6"/>
  <c r="W18" i="6" s="1"/>
  <c r="L22" i="6"/>
  <c r="W25" i="6" s="1"/>
  <c r="L23" i="6"/>
  <c r="W26" i="6" s="1"/>
  <c r="L24" i="6"/>
  <c r="W27" i="6" s="1"/>
  <c r="L25" i="6"/>
  <c r="W36" i="6" s="1"/>
  <c r="L26" i="6"/>
  <c r="W37" i="6" s="1"/>
  <c r="L27" i="6"/>
  <c r="W38" i="6" s="1"/>
  <c r="L29" i="6"/>
  <c r="W40" i="6" s="1"/>
  <c r="L30" i="6"/>
  <c r="W41" i="6" s="1"/>
  <c r="L5" i="6"/>
  <c r="W5" i="6" s="1"/>
  <c r="F6" i="6"/>
  <c r="S6" i="6" s="1"/>
  <c r="F7" i="6"/>
  <c r="S13" i="6" s="1"/>
  <c r="F8" i="6"/>
  <c r="S14" i="6" s="1"/>
  <c r="F9" i="6"/>
  <c r="S15" i="6" s="1"/>
  <c r="F10" i="6"/>
  <c r="S16" i="6" s="1"/>
  <c r="F11" i="6"/>
  <c r="S22" i="6" s="1"/>
  <c r="F12" i="6"/>
  <c r="S23" i="6" s="1"/>
  <c r="F13" i="6"/>
  <c r="S24" i="6" s="1"/>
  <c r="F14" i="6"/>
  <c r="S32" i="6" s="1"/>
  <c r="F15" i="6"/>
  <c r="S33" i="6" s="1"/>
  <c r="F16" i="6"/>
  <c r="S34" i="6" s="1"/>
  <c r="F17" i="6"/>
  <c r="S35" i="6" s="1"/>
  <c r="F18" i="6"/>
  <c r="S7" i="6" s="1"/>
  <c r="F19" i="6"/>
  <c r="S8" i="6" s="1"/>
  <c r="F20" i="6"/>
  <c r="S17" i="6" s="1"/>
  <c r="F21" i="6"/>
  <c r="S18" i="6" s="1"/>
  <c r="F22" i="6"/>
  <c r="S25" i="6" s="1"/>
  <c r="F23" i="6"/>
  <c r="S26" i="6" s="1"/>
  <c r="F24" i="6"/>
  <c r="S27" i="6" s="1"/>
  <c r="F25" i="6"/>
  <c r="S36" i="6" s="1"/>
  <c r="F26" i="6"/>
  <c r="S37" i="6" s="1"/>
  <c r="F27" i="6"/>
  <c r="S38" i="6" s="1"/>
  <c r="F28" i="6"/>
  <c r="S39" i="6" s="1"/>
  <c r="F29" i="6"/>
  <c r="S40" i="6" s="1"/>
  <c r="F30" i="6"/>
  <c r="S41" i="6" s="1"/>
  <c r="C32" i="6"/>
  <c r="C2" i="2"/>
  <c r="H30" i="3"/>
  <c r="H29" i="3"/>
  <c r="H28" i="3"/>
  <c r="H27" i="3"/>
  <c r="H26" i="3"/>
  <c r="H25" i="3"/>
  <c r="H24" i="3"/>
  <c r="J24" i="3" s="1"/>
  <c r="H23" i="3"/>
  <c r="H22" i="3"/>
  <c r="H21" i="3"/>
  <c r="H20" i="3"/>
  <c r="H19" i="3"/>
  <c r="H18" i="3"/>
  <c r="H17" i="3"/>
  <c r="H16" i="3"/>
  <c r="J16" i="3" s="1"/>
  <c r="H15" i="3"/>
  <c r="H14" i="3"/>
  <c r="H13" i="3"/>
  <c r="H12" i="3"/>
  <c r="H11" i="3"/>
  <c r="H10" i="3"/>
  <c r="H9" i="3"/>
  <c r="H8" i="3"/>
  <c r="J8" i="3" s="1"/>
  <c r="H7" i="3"/>
  <c r="H6" i="3"/>
  <c r="H5" i="3"/>
  <c r="H4" i="3"/>
  <c r="C30" i="3"/>
  <c r="D17" i="2" a="1"/>
  <c r="D17" i="2" s="1"/>
  <c r="D16" i="2" a="1"/>
  <c r="D16" i="2" s="1"/>
  <c r="D15" i="2" a="1"/>
  <c r="D15" i="2" s="1"/>
  <c r="D6" i="2" a="1"/>
  <c r="D6" i="2" s="1"/>
  <c r="D5" i="2" a="1"/>
  <c r="D5" i="2" s="1"/>
  <c r="D7" i="2" a="1"/>
  <c r="D7" i="2" s="1"/>
  <c r="D8" i="2" a="1"/>
  <c r="D8" i="2" s="1"/>
  <c r="D9" i="2" a="1"/>
  <c r="D9" i="2" s="1"/>
  <c r="D10" i="2" a="1"/>
  <c r="D10" i="2" s="1"/>
  <c r="D11" i="2" a="1"/>
  <c r="D11" i="2" s="1"/>
  <c r="D12" i="2" a="1"/>
  <c r="D12" i="2" s="1"/>
  <c r="D13" i="2" a="1"/>
  <c r="D13" i="2" s="1"/>
  <c r="D14" i="2" a="1"/>
  <c r="D14" i="2" s="1"/>
  <c r="D18" i="2" a="1"/>
  <c r="D18" i="2" s="1"/>
  <c r="D19" i="2" a="1"/>
  <c r="D19" i="2" s="1"/>
  <c r="D20" i="2" a="1"/>
  <c r="D20" i="2" s="1"/>
  <c r="D21" i="2" a="1"/>
  <c r="D21" i="2" s="1"/>
  <c r="D22" i="2" a="1"/>
  <c r="D22" i="2" s="1"/>
  <c r="D23" i="2" a="1"/>
  <c r="D23" i="2" s="1"/>
  <c r="D24" i="2" a="1"/>
  <c r="D24" i="2" s="1"/>
  <c r="D25" i="2" a="1"/>
  <c r="D25" i="2" s="1"/>
  <c r="D26" i="2" a="1"/>
  <c r="D26" i="2" s="1"/>
  <c r="D27" i="2" a="1"/>
  <c r="D27" i="2" s="1"/>
  <c r="D28" i="2" a="1"/>
  <c r="D28" i="2" s="1"/>
  <c r="D29" i="2" a="1"/>
  <c r="D29" i="2" s="1"/>
  <c r="D30" i="2" a="1"/>
  <c r="D30" i="2" s="1"/>
  <c r="C5" i="3"/>
  <c r="C6" i="3"/>
  <c r="K6" i="3" s="1"/>
  <c r="C7" i="3"/>
  <c r="K7" i="3" s="1"/>
  <c r="C8" i="3"/>
  <c r="K8" i="3" s="1"/>
  <c r="C9" i="3"/>
  <c r="K9" i="3" s="1"/>
  <c r="C10" i="3"/>
  <c r="K10" i="3" s="1"/>
  <c r="C11" i="3"/>
  <c r="K11" i="3" s="1"/>
  <c r="C12" i="3"/>
  <c r="C13" i="3"/>
  <c r="C14" i="3"/>
  <c r="K14" i="3" s="1"/>
  <c r="C15" i="3"/>
  <c r="K15" i="3" s="1"/>
  <c r="C16" i="3"/>
  <c r="K16" i="3" s="1"/>
  <c r="C17" i="3"/>
  <c r="K17" i="3" s="1"/>
  <c r="C18" i="3"/>
  <c r="C19" i="3"/>
  <c r="K19" i="3" s="1"/>
  <c r="C20" i="3"/>
  <c r="C21" i="3"/>
  <c r="C22" i="3"/>
  <c r="K22" i="3" s="1"/>
  <c r="C23" i="3"/>
  <c r="K23" i="3" s="1"/>
  <c r="C24" i="3"/>
  <c r="K24" i="3" s="1"/>
  <c r="C25" i="3"/>
  <c r="C26" i="3"/>
  <c r="K26" i="3" s="1"/>
  <c r="C27" i="3"/>
  <c r="K27" i="3" s="1"/>
  <c r="C28" i="3"/>
  <c r="C29" i="3"/>
  <c r="K29" i="3" s="1"/>
  <c r="C4" i="3"/>
  <c r="K4" i="3" s="1"/>
  <c r="R4" i="6" l="1"/>
  <c r="D34" i="6"/>
  <c r="K4" i="6"/>
  <c r="U4" i="6" s="1"/>
  <c r="S31" i="6"/>
  <c r="G4" i="6"/>
  <c r="H4" i="6" s="1"/>
  <c r="R9" i="6"/>
  <c r="W4" i="6"/>
  <c r="W24" i="6"/>
  <c r="Q41" i="6"/>
  <c r="W17" i="6"/>
  <c r="R31" i="6"/>
  <c r="Q9" i="6"/>
  <c r="S4" i="6"/>
  <c r="S9" i="6"/>
  <c r="Q24" i="6"/>
  <c r="J4" i="3"/>
  <c r="J12" i="3"/>
  <c r="J20" i="3"/>
  <c r="J28" i="3"/>
  <c r="J7" i="3"/>
  <c r="J15" i="3"/>
  <c r="J23" i="3"/>
  <c r="G5" i="6"/>
  <c r="J5" i="3"/>
  <c r="J13" i="3"/>
  <c r="J21" i="3"/>
  <c r="J29" i="3"/>
  <c r="N58" i="6"/>
  <c r="G58" i="6"/>
  <c r="H58" i="6"/>
  <c r="J6" i="3"/>
  <c r="J14" i="3"/>
  <c r="J22" i="3"/>
  <c r="J30" i="3"/>
  <c r="J9" i="3"/>
  <c r="J17" i="3"/>
  <c r="J25" i="3"/>
  <c r="J11" i="3"/>
  <c r="J19" i="3"/>
  <c r="J27" i="3"/>
  <c r="J26" i="3"/>
  <c r="J10" i="3"/>
  <c r="J18" i="3"/>
  <c r="I4" i="3"/>
  <c r="I27" i="3"/>
  <c r="I19" i="3"/>
  <c r="I11" i="3"/>
  <c r="K18" i="3"/>
  <c r="I18" i="3" s="1"/>
  <c r="I10" i="3"/>
  <c r="K25" i="3"/>
  <c r="I25" i="3" s="1"/>
  <c r="I26" i="3"/>
  <c r="I9" i="3"/>
  <c r="I16" i="3"/>
  <c r="I8" i="3"/>
  <c r="I23" i="3"/>
  <c r="I15" i="3"/>
  <c r="I7" i="3"/>
  <c r="I17" i="3"/>
  <c r="I24" i="3"/>
  <c r="I22" i="3"/>
  <c r="I14" i="3"/>
  <c r="I6" i="3"/>
  <c r="K21" i="3"/>
  <c r="I21" i="3" s="1"/>
  <c r="K13" i="3"/>
  <c r="I13" i="3" s="1"/>
  <c r="K5" i="3"/>
  <c r="I5" i="3" s="1"/>
  <c r="I29" i="3"/>
  <c r="K28" i="3"/>
  <c r="I28" i="3" s="1"/>
  <c r="K20" i="3"/>
  <c r="I20" i="3" s="1"/>
  <c r="K12" i="3"/>
  <c r="I12" i="3" s="1"/>
  <c r="K30" i="3"/>
  <c r="I30" i="3" s="1"/>
  <c r="E35" i="6"/>
  <c r="E34" i="6"/>
  <c r="F34" i="6"/>
  <c r="F35" i="6"/>
  <c r="K11" i="6"/>
  <c r="U22" i="6" s="1"/>
  <c r="K18" i="6"/>
  <c r="U7" i="6" s="1"/>
  <c r="G27" i="6"/>
  <c r="G19" i="6"/>
  <c r="T8" i="6" s="1"/>
  <c r="O8" i="6" s="1"/>
  <c r="G11" i="6"/>
  <c r="K24" i="6"/>
  <c r="U27" i="6" s="1"/>
  <c r="K16" i="6"/>
  <c r="U34" i="6" s="1"/>
  <c r="K8" i="6"/>
  <c r="U14" i="6" s="1"/>
  <c r="G29" i="6"/>
  <c r="G13" i="6"/>
  <c r="K26" i="6"/>
  <c r="U37" i="6" s="1"/>
  <c r="G20" i="6"/>
  <c r="K17" i="6"/>
  <c r="U35" i="6" s="1"/>
  <c r="G26" i="6"/>
  <c r="T37" i="6" s="1"/>
  <c r="O37" i="6" s="1"/>
  <c r="G18" i="6"/>
  <c r="T7" i="6" s="1"/>
  <c r="O7" i="6" s="1"/>
  <c r="G10" i="6"/>
  <c r="T16" i="6" s="1"/>
  <c r="O16" i="6" s="1"/>
  <c r="K5" i="6"/>
  <c r="U5" i="6" s="1"/>
  <c r="K23" i="6"/>
  <c r="U26" i="6" s="1"/>
  <c r="K15" i="6"/>
  <c r="U33" i="6" s="1"/>
  <c r="K7" i="6"/>
  <c r="U13" i="6" s="1"/>
  <c r="G21" i="6"/>
  <c r="T18" i="6" s="1"/>
  <c r="O18" i="6" s="1"/>
  <c r="K10" i="6"/>
  <c r="U16" i="6" s="1"/>
  <c r="G25" i="6"/>
  <c r="G17" i="6"/>
  <c r="T35" i="6" s="1"/>
  <c r="O35" i="6" s="1"/>
  <c r="G9" i="6"/>
  <c r="T15" i="6" s="1"/>
  <c r="O15" i="6" s="1"/>
  <c r="K30" i="6"/>
  <c r="U41" i="6" s="1"/>
  <c r="K22" i="6"/>
  <c r="U25" i="6" s="1"/>
  <c r="K14" i="6"/>
  <c r="U32" i="6" s="1"/>
  <c r="K6" i="6"/>
  <c r="U6" i="6" s="1"/>
  <c r="G24" i="6"/>
  <c r="T27" i="6" s="1"/>
  <c r="O27" i="6" s="1"/>
  <c r="G16" i="6"/>
  <c r="T34" i="6" s="1"/>
  <c r="O34" i="6" s="1"/>
  <c r="G8" i="6"/>
  <c r="T14" i="6" s="1"/>
  <c r="O14" i="6" s="1"/>
  <c r="K29" i="6"/>
  <c r="U40" i="6" s="1"/>
  <c r="K21" i="6"/>
  <c r="K13" i="6"/>
  <c r="G28" i="6"/>
  <c r="K25" i="6"/>
  <c r="U36" i="6" s="1"/>
  <c r="G23" i="6"/>
  <c r="G15" i="6"/>
  <c r="T33" i="6" s="1"/>
  <c r="O33" i="6" s="1"/>
  <c r="G7" i="6"/>
  <c r="T13" i="6" s="1"/>
  <c r="O13" i="6" s="1"/>
  <c r="K28" i="6"/>
  <c r="U39" i="6" s="1"/>
  <c r="K20" i="6"/>
  <c r="K12" i="6"/>
  <c r="U23" i="6" s="1"/>
  <c r="G12" i="6"/>
  <c r="T23" i="6" s="1"/>
  <c r="O23" i="6" s="1"/>
  <c r="K9" i="6"/>
  <c r="U15" i="6" s="1"/>
  <c r="G30" i="6"/>
  <c r="T41" i="6" s="1"/>
  <c r="O41" i="6" s="1"/>
  <c r="G22" i="6"/>
  <c r="T25" i="6" s="1"/>
  <c r="O25" i="6" s="1"/>
  <c r="G14" i="6"/>
  <c r="T32" i="6" s="1"/>
  <c r="O32" i="6" s="1"/>
  <c r="G6" i="6"/>
  <c r="K27" i="6"/>
  <c r="U38" i="6" s="1"/>
  <c r="K19" i="6"/>
  <c r="U8" i="6" s="1"/>
  <c r="L35" i="6"/>
  <c r="L34" i="6"/>
  <c r="D36" i="6"/>
  <c r="P16" i="6" l="1"/>
  <c r="V16" i="6" s="1"/>
  <c r="P8" i="6"/>
  <c r="V8" i="6" s="1"/>
  <c r="P23" i="6"/>
  <c r="V23" i="6" s="1"/>
  <c r="P25" i="6"/>
  <c r="V25" i="6" s="1"/>
  <c r="P33" i="6"/>
  <c r="V33" i="6" s="1"/>
  <c r="T4" i="6"/>
  <c r="O4" i="6" s="1"/>
  <c r="P15" i="6"/>
  <c r="V15" i="6" s="1"/>
  <c r="I4" i="6"/>
  <c r="J4" i="6" s="1"/>
  <c r="P35" i="6"/>
  <c r="V35" i="6" s="1"/>
  <c r="H11" i="6"/>
  <c r="T22" i="6"/>
  <c r="O22" i="6" s="1"/>
  <c r="H5" i="6"/>
  <c r="T5" i="6"/>
  <c r="O5" i="6" s="1"/>
  <c r="P27" i="6"/>
  <c r="V27" i="6" s="1"/>
  <c r="H28" i="6"/>
  <c r="T39" i="6"/>
  <c r="O39" i="6" s="1"/>
  <c r="P32" i="6"/>
  <c r="V32" i="6" s="1"/>
  <c r="P13" i="6"/>
  <c r="V13" i="6" s="1"/>
  <c r="T17" i="6"/>
  <c r="O17" i="6" s="1"/>
  <c r="T9" i="6"/>
  <c r="O9" i="6" s="1"/>
  <c r="M58" i="6"/>
  <c r="U18" i="6"/>
  <c r="P18" i="6" s="1"/>
  <c r="V18" i="6" s="1"/>
  <c r="P41" i="6"/>
  <c r="V41" i="6" s="1"/>
  <c r="T31" i="6"/>
  <c r="O31" i="6" s="1"/>
  <c r="T24" i="6"/>
  <c r="O24" i="6" s="1"/>
  <c r="P7" i="6"/>
  <c r="V7" i="6" s="1"/>
  <c r="H23" i="6"/>
  <c r="T26" i="6"/>
  <c r="O26" i="6" s="1"/>
  <c r="H29" i="6"/>
  <c r="T40" i="6"/>
  <c r="O40" i="6" s="1"/>
  <c r="P37" i="6"/>
  <c r="V37" i="6" s="1"/>
  <c r="U17" i="6"/>
  <c r="U9" i="6"/>
  <c r="P14" i="6"/>
  <c r="V14" i="6" s="1"/>
  <c r="U31" i="6"/>
  <c r="U24" i="6"/>
  <c r="H27" i="6"/>
  <c r="T38" i="6"/>
  <c r="O38" i="6" s="1"/>
  <c r="H6" i="6"/>
  <c r="T6" i="6"/>
  <c r="O6" i="6" s="1"/>
  <c r="H25" i="6"/>
  <c r="T36" i="6"/>
  <c r="O36" i="6" s="1"/>
  <c r="P34" i="6"/>
  <c r="V34" i="6" s="1"/>
  <c r="E36" i="6" a="1"/>
  <c r="E36" i="6" s="1"/>
  <c r="I58" i="6"/>
  <c r="F36" i="6" a="1"/>
  <c r="F36" i="6" s="1"/>
  <c r="G34" i="6"/>
  <c r="H19" i="6"/>
  <c r="H17" i="6"/>
  <c r="H9" i="6"/>
  <c r="I19" i="6"/>
  <c r="H13" i="6"/>
  <c r="H8" i="6"/>
  <c r="I15" i="6"/>
  <c r="I29" i="6"/>
  <c r="I27" i="6"/>
  <c r="H21" i="6"/>
  <c r="J58" i="6" s="1"/>
  <c r="I14" i="6"/>
  <c r="H15" i="6"/>
  <c r="H22" i="6"/>
  <c r="H16" i="6"/>
  <c r="I7" i="6"/>
  <c r="H7" i="6"/>
  <c r="H14" i="6"/>
  <c r="I11" i="6"/>
  <c r="I13" i="6"/>
  <c r="I22" i="6"/>
  <c r="I20" i="6"/>
  <c r="H20" i="6"/>
  <c r="H12" i="6"/>
  <c r="I16" i="6"/>
  <c r="I6" i="6"/>
  <c r="H24" i="6"/>
  <c r="I18" i="6"/>
  <c r="I26" i="6"/>
  <c r="I24" i="6"/>
  <c r="H26" i="6"/>
  <c r="I25" i="6"/>
  <c r="K35" i="6"/>
  <c r="H18" i="6"/>
  <c r="I30" i="6"/>
  <c r="G35" i="6"/>
  <c r="H30" i="6"/>
  <c r="I12" i="6"/>
  <c r="I17" i="6"/>
  <c r="K34" i="6"/>
  <c r="I10" i="6"/>
  <c r="I9" i="6"/>
  <c r="I28" i="6"/>
  <c r="I21" i="6"/>
  <c r="K58" i="6" s="1"/>
  <c r="I23" i="6"/>
  <c r="H10" i="6"/>
  <c r="I8" i="6"/>
  <c r="I5" i="6"/>
  <c r="J5" i="6" s="1"/>
  <c r="L36" i="6"/>
  <c r="I35" i="6" l="1"/>
  <c r="P24" i="6"/>
  <c r="J23" i="6"/>
  <c r="P9" i="6"/>
  <c r="V9" i="6" s="1"/>
  <c r="J25" i="6"/>
  <c r="P22" i="6"/>
  <c r="V22" i="6" s="1"/>
  <c r="J28" i="6"/>
  <c r="J11" i="6"/>
  <c r="P4" i="6"/>
  <c r="V4" i="6" s="1"/>
  <c r="J6" i="6"/>
  <c r="J27" i="6"/>
  <c r="P5" i="6"/>
  <c r="V5" i="6" s="1"/>
  <c r="J29" i="6"/>
  <c r="P39" i="6"/>
  <c r="V39" i="6" s="1"/>
  <c r="N2" i="6"/>
  <c r="P17" i="6"/>
  <c r="V17" i="6" s="1"/>
  <c r="P6" i="6"/>
  <c r="V6" i="6" s="1"/>
  <c r="V24" i="6"/>
  <c r="P36" i="6"/>
  <c r="V36" i="6" s="1"/>
  <c r="P40" i="6"/>
  <c r="V40" i="6" s="1"/>
  <c r="P26" i="6"/>
  <c r="V26" i="6" s="1"/>
  <c r="P38" i="6"/>
  <c r="V38" i="6" s="1"/>
  <c r="P31" i="6"/>
  <c r="V31" i="6" s="1"/>
  <c r="N29" i="6"/>
  <c r="N20" i="6"/>
  <c r="N11" i="6"/>
  <c r="J14" i="6"/>
  <c r="G36" i="6"/>
  <c r="J12" i="6"/>
  <c r="J16" i="6"/>
  <c r="J20" i="6"/>
  <c r="J18" i="6"/>
  <c r="J9" i="6"/>
  <c r="J22" i="6"/>
  <c r="J17" i="6"/>
  <c r="J15" i="6"/>
  <c r="H35" i="6"/>
  <c r="J10" i="6"/>
  <c r="J30" i="6"/>
  <c r="J7" i="6"/>
  <c r="J8" i="6"/>
  <c r="J19" i="6"/>
  <c r="J13" i="6"/>
  <c r="J26" i="6"/>
  <c r="J24" i="6"/>
  <c r="J21" i="6"/>
  <c r="L58" i="6" s="1"/>
  <c r="H34" i="6"/>
  <c r="K36" i="6"/>
  <c r="I34" i="6"/>
  <c r="I36" i="6" l="1"/>
  <c r="J34" i="6"/>
  <c r="H36" i="6"/>
  <c r="J35" i="6"/>
  <c r="J36" i="6" s="1"/>
  <c r="C37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</author>
  </authors>
  <commentList>
    <comment ref="J3" authorId="0" shapeId="0" xr:uid="{82E36504-D04C-435C-A900-45227A9DADEF}">
      <text>
        <r>
          <rPr>
            <b/>
            <sz val="9"/>
            <color indexed="81"/>
            <rFont val="Tahoma"/>
            <family val="2"/>
          </rPr>
          <t xml:space="preserve">Menys es millor
</t>
        </r>
      </text>
    </comment>
    <comment ref="V3" authorId="0" shapeId="0" xr:uid="{FF937071-EBCC-447A-8BC0-1A8023471412}">
      <text>
        <r>
          <rPr>
            <b/>
            <sz val="9"/>
            <color indexed="81"/>
            <rFont val="Century Gothic"/>
            <family val="2"/>
          </rPr>
          <t>Menys es millor</t>
        </r>
      </text>
    </comment>
    <comment ref="V21" authorId="0" shapeId="0" xr:uid="{9178EC7A-178D-45D7-AC65-F034A99C6FE0}">
      <text>
        <r>
          <rPr>
            <b/>
            <sz val="9"/>
            <color indexed="81"/>
            <rFont val="Tahoma"/>
            <family val="2"/>
          </rPr>
          <t xml:space="preserve">Menys es millor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<sst xmlns="http://schemas.openxmlformats.org/spreadsheetml/2006/main" count="325" uniqueCount="89">
  <si>
    <t>Gama</t>
  </si>
  <si>
    <t>Memoria VRAM</t>
  </si>
  <si>
    <t>Arquitectura</t>
  </si>
  <si>
    <t>Ray Tracing</t>
  </si>
  <si>
    <t>Frecuencia</t>
  </si>
  <si>
    <t>RDNA</t>
  </si>
  <si>
    <t>NO</t>
  </si>
  <si>
    <t>Preu</t>
  </si>
  <si>
    <t>RDNA 2</t>
  </si>
  <si>
    <t>SI</t>
  </si>
  <si>
    <t>Cosnum</t>
  </si>
  <si>
    <t>Turing</t>
  </si>
  <si>
    <t>Ampere</t>
  </si>
  <si>
    <t>Model</t>
  </si>
  <si>
    <t>Doom Eternal</t>
  </si>
  <si>
    <t xml:space="preserve">GTA V </t>
  </si>
  <si>
    <t>Forza Horizon 5</t>
  </si>
  <si>
    <t>Rendiment FPS (Frames Per Second) de mitja en 5 minuts, 4K, qualitat grafica: Maxima, RTX/DLSS/FSR:NO</t>
  </si>
  <si>
    <t>AMD RX 6400</t>
  </si>
  <si>
    <t>AMD RX 6500 XT</t>
  </si>
  <si>
    <t>AMD RX 6600</t>
  </si>
  <si>
    <t>AMD RX 6600 XT</t>
  </si>
  <si>
    <t>AMD RX 6650 XT</t>
  </si>
  <si>
    <t>AMD RX 6700</t>
  </si>
  <si>
    <t>AMD RX 6700 XT</t>
  </si>
  <si>
    <t>AMD RX 6750 XT</t>
  </si>
  <si>
    <t>AMD RX 6800</t>
  </si>
  <si>
    <t>AMD RX 6800 XT</t>
  </si>
  <si>
    <t>AMD RX 6900 XT</t>
  </si>
  <si>
    <t>AMD RX 6950 XT</t>
  </si>
  <si>
    <t>Nvidia GTX 1650</t>
  </si>
  <si>
    <t>Nvidia GTX 1660 TI</t>
  </si>
  <si>
    <t>Nvidia RTX 3050</t>
  </si>
  <si>
    <t>Nvidia RTX 3060</t>
  </si>
  <si>
    <t>Nvidia RTX 3060 TI</t>
  </si>
  <si>
    <t>Nvidia RTX 3070</t>
  </si>
  <si>
    <t>Nvidia RTX 3070 TI</t>
  </si>
  <si>
    <t>Nvidia RTX 3080</t>
  </si>
  <si>
    <t>Nvidia RTX 3080 TI</t>
  </si>
  <si>
    <t>Nvidia RTX 3090</t>
  </si>
  <si>
    <t>Nvidia RTX 3090 TI</t>
  </si>
  <si>
    <t>Nvidia RTX 4080</t>
  </si>
  <si>
    <t>Nvidia RTX 4090</t>
  </si>
  <si>
    <t>GPU</t>
  </si>
  <si>
    <t>FILTRAR PER</t>
  </si>
  <si>
    <t>Ordenar VRAM</t>
  </si>
  <si>
    <t>AMD RX 7900 XTX</t>
  </si>
  <si>
    <t>AMD RX 7900 XT</t>
  </si>
  <si>
    <t>RDNA 3</t>
  </si>
  <si>
    <t>Rendiment</t>
  </si>
  <si>
    <t>Consum</t>
  </si>
  <si>
    <t>W/FPS</t>
  </si>
  <si>
    <t>€/FPS</t>
  </si>
  <si>
    <t>DLSS</t>
  </si>
  <si>
    <t>Recomanador</t>
  </si>
  <si>
    <t>Puntuació Final</t>
  </si>
  <si>
    <t>VRAM</t>
  </si>
  <si>
    <t>RTX</t>
  </si>
  <si>
    <t>Punt. Final</t>
  </si>
  <si>
    <t>Buscador</t>
  </si>
  <si>
    <t/>
  </si>
  <si>
    <t>7ç*- 8+9</t>
  </si>
  <si>
    <t>1920x1080</t>
  </si>
  <si>
    <t>2560x1440</t>
  </si>
  <si>
    <t xml:space="preserve">Resolució Estable </t>
  </si>
  <si>
    <t>3840x2160</t>
  </si>
  <si>
    <t>GPU Recomanada a public general</t>
  </si>
  <si>
    <t>Resolució</t>
  </si>
  <si>
    <t>Valores Ray Tracing?</t>
  </si>
  <si>
    <t>Valores DLSS?</t>
  </si>
  <si>
    <t>Que prefereixes? DLSS o FSR?</t>
  </si>
  <si>
    <t>Que prefereixes? Nvidia o AMD</t>
  </si>
  <si>
    <t>Que valores més?</t>
  </si>
  <si>
    <t>Rendiment-preu</t>
  </si>
  <si>
    <t>Disseny</t>
  </si>
  <si>
    <t>consum-preu</t>
  </si>
  <si>
    <t>un equilibri</t>
  </si>
  <si>
    <t>Si</t>
  </si>
  <si>
    <t>No</t>
  </si>
  <si>
    <t>Neutre</t>
  </si>
  <si>
    <t>FSR</t>
  </si>
  <si>
    <t>Nvidia</t>
  </si>
  <si>
    <t>AMD</t>
  </si>
  <si>
    <t>1280x720</t>
  </si>
  <si>
    <t>Preferencias public general</t>
  </si>
  <si>
    <t>Fabricant</t>
  </si>
  <si>
    <t>Rendiment-Consum</t>
  </si>
  <si>
    <t>A quina resolució Jugues/Treballes</t>
  </si>
  <si>
    <t>*Presionar CTRL+P per ordenar correctament la taula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</si>
</sst>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6" formatCode="#,##0\ &quot;€&quot;;[Red]\-#,##0\ &quot;€&quot;"/>
    <numFmt numFmtId="44" formatCode="_-* #,##0.00\ &quot;€&quot;_-;\-* #,##0.00\ &quot;€&quot;_-;_-* &quot;-&quot;??\ &quot;€&quot;_-;_-@_-"/>
    <numFmt numFmtId="164" formatCode="#,##0\ &quot;€&quot;"/>
    <numFmt numFmtId="165" formatCode="0\ &quot;W&quot;"/>
    <numFmt numFmtId="166" formatCode="0\ &quot;MHz&quot;"/>
    <numFmt numFmtId="167" formatCode="0\ &quot;GB&quot;"/>
    <numFmt numFmtId="168" formatCode="0\ &quot;FPS&quot;"/>
    <numFmt numFmtId="169" formatCode="0\ &quot;€/FPS&quot;"/>
    <numFmt numFmtId="170" formatCode="0\ &quot;W/FPS&quot;"/>
    <numFmt numFmtId="171" formatCode="0\ "/>
    <numFmt numFmtId="172" formatCode="&quot;GPU ANALITZADES:&quot;\ 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0"/>
      <name val="Century Gothic"/>
      <family val="2"/>
    </font>
    <font>
      <b/>
      <sz val="11"/>
      <name val="Century Gothic"/>
      <family val="2"/>
    </font>
    <font>
      <b/>
      <sz val="18"/>
      <color theme="1"/>
      <name val="Century Gothic"/>
      <family val="2"/>
    </font>
    <font>
      <sz val="20"/>
      <color theme="0"/>
      <name val="Century Gothic"/>
      <family val="2"/>
    </font>
    <font>
      <b/>
      <sz val="18"/>
      <color theme="0"/>
      <name val="Century Gothic"/>
      <family val="2"/>
    </font>
    <font>
      <b/>
      <sz val="9"/>
      <color indexed="81"/>
      <name val="Tahoma"/>
      <family val="2"/>
    </font>
    <font>
      <b/>
      <sz val="9"/>
      <color indexed="81"/>
      <name val="Century Gothic"/>
      <family val="2"/>
    </font>
    <font>
      <b/>
      <sz val="16"/>
      <color theme="0"/>
      <name val="Century Gothic"/>
      <family val="2"/>
    </font>
    <font>
      <b/>
      <sz val="16"/>
      <color theme="1"/>
      <name val="Century Gothic"/>
      <family val="2"/>
    </font>
    <font>
      <sz val="10"/>
      <color theme="1"/>
      <name val="Century Gothic"/>
      <family val="2"/>
    </font>
    <font>
      <sz val="18"/>
      <color theme="1"/>
      <name val="Century Gothic"/>
      <family val="2"/>
    </font>
    <font>
      <b/>
      <sz val="20"/>
      <color theme="1"/>
      <name val="Century Gothic"/>
      <family val="2"/>
    </font>
    <font>
      <sz val="16"/>
      <color theme="1"/>
      <name val="Century Gothic"/>
      <family val="2"/>
    </font>
    <font>
      <sz val="12"/>
      <color theme="1"/>
      <name val="Century Gothic"/>
      <family val="2"/>
    </font>
    <font>
      <b/>
      <sz val="12"/>
      <color theme="1"/>
      <name val="Century Gothic"/>
      <family val="2"/>
    </font>
    <font>
      <sz val="12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/>
      <diagonal/>
    </border>
    <border>
      <left/>
      <right/>
      <top/>
      <bottom style="thin">
        <color rgb="FF002060"/>
      </bottom>
      <diagonal/>
    </border>
    <border>
      <left/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rgb="FF00206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87">
    <xf numFmtId="0" fontId="0" fillId="0" borderId="0" xfId="0"/>
    <xf numFmtId="0" fontId="5" fillId="3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0" fillId="5" borderId="0" xfId="0" applyFill="1"/>
    <xf numFmtId="0" fontId="0" fillId="0" borderId="8" xfId="0" applyBorder="1"/>
    <xf numFmtId="0" fontId="0" fillId="0" borderId="9" xfId="0" applyBorder="1"/>
    <xf numFmtId="0" fontId="6" fillId="0" borderId="10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0" fontId="1" fillId="0" borderId="7" xfId="0" applyFont="1" applyBorder="1" applyAlignment="1">
      <alignment horizontal="center" vertical="center"/>
    </xf>
    <xf numFmtId="167" fontId="1" fillId="0" borderId="7" xfId="0" applyNumberFormat="1" applyFont="1" applyBorder="1" applyAlignment="1">
      <alignment horizontal="center" vertical="center"/>
    </xf>
    <xf numFmtId="165" fontId="1" fillId="0" borderId="7" xfId="0" applyNumberFormat="1" applyFont="1" applyBorder="1" applyAlignment="1">
      <alignment horizontal="center" vertical="center"/>
    </xf>
    <xf numFmtId="6" fontId="1" fillId="0" borderId="7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167" fontId="1" fillId="0" borderId="5" xfId="0" applyNumberFormat="1" applyFont="1" applyBorder="1" applyAlignment="1">
      <alignment horizontal="center" vertical="center"/>
    </xf>
    <xf numFmtId="165" fontId="1" fillId="0" borderId="5" xfId="0" applyNumberFormat="1" applyFont="1" applyBorder="1" applyAlignment="1">
      <alignment horizontal="center" vertical="center"/>
    </xf>
    <xf numFmtId="6" fontId="1" fillId="0" borderId="5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left" vertical="center"/>
    </xf>
    <xf numFmtId="165" fontId="1" fillId="0" borderId="4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168" fontId="1" fillId="0" borderId="4" xfId="0" applyNumberFormat="1" applyFont="1" applyBorder="1" applyAlignment="1">
      <alignment horizontal="center" vertical="center"/>
    </xf>
    <xf numFmtId="169" fontId="1" fillId="0" borderId="4" xfId="0" applyNumberFormat="1" applyFont="1" applyBorder="1" applyAlignment="1">
      <alignment horizontal="center" vertical="center"/>
    </xf>
    <xf numFmtId="170" fontId="1" fillId="0" borderId="4" xfId="0" applyNumberFormat="1" applyFont="1" applyBorder="1" applyAlignment="1">
      <alignment horizontal="center" vertical="center"/>
    </xf>
    <xf numFmtId="168" fontId="1" fillId="0" borderId="7" xfId="0" applyNumberFormat="1" applyFont="1" applyBorder="1" applyAlignment="1">
      <alignment horizontal="center" vertical="center"/>
    </xf>
    <xf numFmtId="168" fontId="1" fillId="0" borderId="5" xfId="0" applyNumberFormat="1" applyFont="1" applyBorder="1" applyAlignment="1">
      <alignment horizontal="center" vertical="center"/>
    </xf>
    <xf numFmtId="169" fontId="1" fillId="0" borderId="7" xfId="0" applyNumberFormat="1" applyFont="1" applyBorder="1" applyAlignment="1">
      <alignment horizontal="center" vertical="center"/>
    </xf>
    <xf numFmtId="169" fontId="1" fillId="0" borderId="5" xfId="0" applyNumberFormat="1" applyFont="1" applyBorder="1" applyAlignment="1">
      <alignment horizontal="center" vertical="center"/>
    </xf>
    <xf numFmtId="169" fontId="1" fillId="0" borderId="6" xfId="0" applyNumberFormat="1" applyFont="1" applyBorder="1" applyAlignment="1">
      <alignment horizontal="center" vertical="center"/>
    </xf>
    <xf numFmtId="170" fontId="1" fillId="0" borderId="7" xfId="0" applyNumberFormat="1" applyFont="1" applyBorder="1" applyAlignment="1">
      <alignment horizontal="center" vertical="center"/>
    </xf>
    <xf numFmtId="170" fontId="1" fillId="0" borderId="5" xfId="0" applyNumberFormat="1" applyFont="1" applyBorder="1" applyAlignment="1">
      <alignment horizontal="center" vertical="center"/>
    </xf>
    <xf numFmtId="1" fontId="1" fillId="0" borderId="7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171" fontId="1" fillId="0" borderId="5" xfId="0" applyNumberFormat="1" applyFont="1" applyBorder="1" applyAlignment="1">
      <alignment horizontal="center" vertical="center"/>
    </xf>
    <xf numFmtId="171" fontId="1" fillId="0" borderId="6" xfId="0" applyNumberFormat="1" applyFont="1" applyBorder="1" applyAlignment="1">
      <alignment horizontal="center" vertical="center"/>
    </xf>
    <xf numFmtId="171" fontId="1" fillId="0" borderId="4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left" vertical="center"/>
    </xf>
    <xf numFmtId="169" fontId="1" fillId="0" borderId="13" xfId="0" applyNumberFormat="1" applyFont="1" applyBorder="1" applyAlignment="1">
      <alignment horizontal="center" vertical="center"/>
    </xf>
    <xf numFmtId="171" fontId="1" fillId="0" borderId="13" xfId="0" applyNumberFormat="1" applyFont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168" fontId="1" fillId="0" borderId="16" xfId="0" applyNumberFormat="1" applyFont="1" applyBorder="1" applyAlignment="1">
      <alignment horizontal="center" vertical="center"/>
    </xf>
    <xf numFmtId="167" fontId="1" fillId="0" borderId="16" xfId="0" applyNumberFormat="1" applyFont="1" applyBorder="1" applyAlignment="1">
      <alignment horizontal="center" vertical="center"/>
    </xf>
    <xf numFmtId="169" fontId="1" fillId="0" borderId="16" xfId="0" applyNumberFormat="1" applyFont="1" applyBorder="1" applyAlignment="1">
      <alignment horizontal="center" vertical="center"/>
    </xf>
    <xf numFmtId="170" fontId="1" fillId="0" borderId="16" xfId="0" applyNumberFormat="1" applyFont="1" applyBorder="1" applyAlignment="1">
      <alignment horizontal="center" vertical="center"/>
    </xf>
    <xf numFmtId="165" fontId="1" fillId="0" borderId="16" xfId="0" applyNumberFormat="1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12" fillId="7" borderId="19" xfId="0" applyFont="1" applyFill="1" applyBorder="1" applyAlignment="1">
      <alignment horizontal="center" vertical="center"/>
    </xf>
    <xf numFmtId="0" fontId="12" fillId="7" borderId="20" xfId="0" applyFont="1" applyFill="1" applyBorder="1" applyAlignment="1">
      <alignment horizontal="center" vertical="center"/>
    </xf>
    <xf numFmtId="0" fontId="12" fillId="7" borderId="21" xfId="0" applyFont="1" applyFill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7" fontId="1" fillId="0" borderId="23" xfId="0" applyNumberFormat="1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68" fontId="1" fillId="0" borderId="23" xfId="0" applyNumberFormat="1" applyFont="1" applyBorder="1" applyAlignment="1">
      <alignment horizontal="center" vertical="center"/>
    </xf>
    <xf numFmtId="169" fontId="1" fillId="0" borderId="23" xfId="0" applyNumberFormat="1" applyFont="1" applyBorder="1" applyAlignment="1">
      <alignment horizontal="center" vertical="center"/>
    </xf>
    <xf numFmtId="170" fontId="1" fillId="0" borderId="23" xfId="0" applyNumberFormat="1" applyFont="1" applyBorder="1" applyAlignment="1">
      <alignment horizontal="center" vertical="center"/>
    </xf>
    <xf numFmtId="171" fontId="1" fillId="0" borderId="23" xfId="0" applyNumberFormat="1" applyFont="1" applyBorder="1" applyAlignment="1">
      <alignment horizontal="center" vertical="center"/>
    </xf>
    <xf numFmtId="165" fontId="1" fillId="0" borderId="23" xfId="0" applyNumberFormat="1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" fillId="0" borderId="25" xfId="0" applyFont="1" applyBorder="1" applyAlignment="1">
      <alignment horizontal="left" vertical="center"/>
    </xf>
    <xf numFmtId="167" fontId="1" fillId="0" borderId="26" xfId="0" applyNumberFormat="1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168" fontId="1" fillId="0" borderId="26" xfId="0" applyNumberFormat="1" applyFont="1" applyBorder="1" applyAlignment="1">
      <alignment horizontal="center" vertical="center"/>
    </xf>
    <xf numFmtId="169" fontId="1" fillId="0" borderId="26" xfId="0" applyNumberFormat="1" applyFont="1" applyBorder="1" applyAlignment="1">
      <alignment horizontal="center" vertical="center"/>
    </xf>
    <xf numFmtId="170" fontId="1" fillId="0" borderId="26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" fontId="1" fillId="0" borderId="26" xfId="0" applyNumberFormat="1" applyFont="1" applyBorder="1" applyAlignment="1">
      <alignment horizontal="center" vertical="center"/>
    </xf>
    <xf numFmtId="6" fontId="1" fillId="0" borderId="27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left" vertical="center"/>
    </xf>
    <xf numFmtId="167" fontId="1" fillId="0" borderId="29" xfId="0" applyNumberFormat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168" fontId="1" fillId="0" borderId="29" xfId="0" applyNumberFormat="1" applyFont="1" applyBorder="1" applyAlignment="1">
      <alignment horizontal="center" vertical="center"/>
    </xf>
    <xf numFmtId="169" fontId="1" fillId="0" borderId="29" xfId="0" applyNumberFormat="1" applyFont="1" applyBorder="1" applyAlignment="1">
      <alignment horizontal="center" vertical="center"/>
    </xf>
    <xf numFmtId="170" fontId="1" fillId="0" borderId="29" xfId="0" applyNumberFormat="1" applyFont="1" applyBorder="1" applyAlignment="1">
      <alignment horizontal="center" vertical="center"/>
    </xf>
    <xf numFmtId="165" fontId="1" fillId="0" borderId="29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6" fontId="1" fillId="0" borderId="30" xfId="0" applyNumberFormat="1" applyFont="1" applyBorder="1" applyAlignment="1">
      <alignment horizontal="center" vertical="center"/>
    </xf>
    <xf numFmtId="0" fontId="1" fillId="0" borderId="31" xfId="0" applyFont="1" applyBorder="1" applyAlignment="1">
      <alignment horizontal="left" vertical="center"/>
    </xf>
    <xf numFmtId="167" fontId="1" fillId="0" borderId="32" xfId="0" applyNumberFormat="1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168" fontId="1" fillId="0" borderId="32" xfId="0" applyNumberFormat="1" applyFont="1" applyBorder="1" applyAlignment="1">
      <alignment horizontal="center" vertical="center"/>
    </xf>
    <xf numFmtId="169" fontId="1" fillId="0" borderId="32" xfId="0" applyNumberFormat="1" applyFont="1" applyBorder="1" applyAlignment="1">
      <alignment horizontal="center" vertical="center"/>
    </xf>
    <xf numFmtId="170" fontId="1" fillId="0" borderId="32" xfId="0" applyNumberFormat="1" applyFont="1" applyBorder="1" applyAlignment="1">
      <alignment horizontal="center" vertical="center"/>
    </xf>
    <xf numFmtId="165" fontId="1" fillId="0" borderId="32" xfId="0" applyNumberFormat="1" applyFont="1" applyBorder="1" applyAlignment="1">
      <alignment horizontal="center" vertical="center"/>
    </xf>
    <xf numFmtId="1" fontId="1" fillId="0" borderId="32" xfId="0" applyNumberFormat="1" applyFont="1" applyBorder="1" applyAlignment="1">
      <alignment horizontal="center" vertical="center"/>
    </xf>
    <xf numFmtId="6" fontId="1" fillId="0" borderId="33" xfId="0" applyNumberFormat="1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0" fillId="6" borderId="11" xfId="0" applyFill="1" applyBorder="1"/>
    <xf numFmtId="0" fontId="0" fillId="6" borderId="34" xfId="0" applyFill="1" applyBorder="1"/>
    <xf numFmtId="0" fontId="11" fillId="6" borderId="12" xfId="0" applyFont="1" applyFill="1" applyBorder="1" applyAlignment="1">
      <alignment horizontal="center" vertical="center"/>
    </xf>
    <xf numFmtId="168" fontId="1" fillId="0" borderId="4" xfId="0" applyNumberFormat="1" applyFont="1" applyBorder="1" applyAlignment="1" applyProtection="1">
      <alignment horizontal="center" vertical="center"/>
      <protection locked="0"/>
    </xf>
    <xf numFmtId="165" fontId="1" fillId="0" borderId="4" xfId="0" applyNumberFormat="1" applyFont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1" fillId="0" borderId="7" xfId="0" applyFont="1" applyBorder="1" applyAlignment="1" applyProtection="1">
      <alignment horizontal="left" vertical="center"/>
      <protection locked="0"/>
    </xf>
    <xf numFmtId="0" fontId="1" fillId="0" borderId="7" xfId="0" applyFont="1" applyBorder="1" applyAlignment="1" applyProtection="1">
      <alignment horizontal="center" vertical="center"/>
      <protection locked="0"/>
    </xf>
    <xf numFmtId="167" fontId="1" fillId="0" borderId="7" xfId="0" applyNumberFormat="1" applyFont="1" applyBorder="1" applyAlignment="1" applyProtection="1">
      <alignment horizontal="center" vertical="center"/>
      <protection locked="0"/>
    </xf>
    <xf numFmtId="166" fontId="1" fillId="0" borderId="7" xfId="0" applyNumberFormat="1" applyFont="1" applyBorder="1" applyAlignment="1" applyProtection="1">
      <alignment horizontal="center" vertical="center"/>
      <protection locked="0"/>
    </xf>
    <xf numFmtId="165" fontId="1" fillId="0" borderId="7" xfId="0" applyNumberFormat="1" applyFont="1" applyBorder="1" applyAlignment="1" applyProtection="1">
      <alignment horizontal="center" vertical="center"/>
      <protection locked="0"/>
    </xf>
    <xf numFmtId="6" fontId="1" fillId="0" borderId="7" xfId="0" applyNumberFormat="1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167" fontId="1" fillId="0" borderId="5" xfId="0" applyNumberFormat="1" applyFont="1" applyBorder="1" applyAlignment="1" applyProtection="1">
      <alignment horizontal="center" vertical="center"/>
      <protection locked="0"/>
    </xf>
    <xf numFmtId="166" fontId="1" fillId="0" borderId="5" xfId="0" applyNumberFormat="1" applyFont="1" applyBorder="1" applyAlignment="1" applyProtection="1">
      <alignment horizontal="center" vertical="center"/>
      <protection locked="0"/>
    </xf>
    <xf numFmtId="165" fontId="1" fillId="0" borderId="5" xfId="0" applyNumberFormat="1" applyFont="1" applyBorder="1" applyAlignment="1" applyProtection="1">
      <alignment horizontal="center" vertical="center"/>
      <protection locked="0"/>
    </xf>
    <xf numFmtId="6" fontId="1" fillId="0" borderId="5" xfId="0" applyNumberFormat="1" applyFont="1" applyBorder="1" applyAlignment="1" applyProtection="1">
      <alignment horizontal="center" vertical="center"/>
      <protection locked="0"/>
    </xf>
    <xf numFmtId="164" fontId="1" fillId="0" borderId="5" xfId="1" applyNumberFormat="1" applyFont="1" applyFill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167" fontId="1" fillId="0" borderId="4" xfId="0" applyNumberFormat="1" applyFont="1" applyBorder="1" applyAlignment="1" applyProtection="1">
      <alignment horizontal="center" vertical="center"/>
      <protection locked="0"/>
    </xf>
    <xf numFmtId="166" fontId="1" fillId="0" borderId="4" xfId="0" applyNumberFormat="1" applyFont="1" applyBorder="1" applyAlignment="1" applyProtection="1">
      <alignment horizontal="center" vertical="center"/>
      <protection locked="0"/>
    </xf>
    <xf numFmtId="6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left" vertical="center"/>
      <protection locked="0"/>
    </xf>
    <xf numFmtId="167" fontId="1" fillId="0" borderId="6" xfId="0" applyNumberFormat="1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166" fontId="1" fillId="0" borderId="6" xfId="0" applyNumberFormat="1" applyFont="1" applyBorder="1" applyAlignment="1" applyProtection="1">
      <alignment horizontal="center" vertical="center"/>
      <protection locked="0"/>
    </xf>
    <xf numFmtId="165" fontId="1" fillId="0" borderId="6" xfId="0" applyNumberFormat="1" applyFont="1" applyBorder="1" applyAlignment="1" applyProtection="1">
      <alignment horizontal="center" vertical="center"/>
      <protection locked="0"/>
    </xf>
    <xf numFmtId="6" fontId="1" fillId="0" borderId="6" xfId="0" applyNumberFormat="1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left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167" fontId="1" fillId="0" borderId="13" xfId="0" applyNumberFormat="1" applyFont="1" applyBorder="1" applyAlignment="1" applyProtection="1">
      <alignment horizontal="center" vertical="center"/>
      <protection locked="0"/>
    </xf>
    <xf numFmtId="166" fontId="1" fillId="0" borderId="13" xfId="0" applyNumberFormat="1" applyFont="1" applyBorder="1" applyAlignment="1" applyProtection="1">
      <alignment horizontal="center" vertical="center"/>
      <protection locked="0"/>
    </xf>
    <xf numFmtId="165" fontId="1" fillId="0" borderId="13" xfId="0" applyNumberFormat="1" applyFont="1" applyBorder="1" applyAlignment="1" applyProtection="1">
      <alignment horizontal="center" vertical="center"/>
      <protection locked="0"/>
    </xf>
    <xf numFmtId="6" fontId="1" fillId="0" borderId="13" xfId="0" applyNumberFormat="1" applyFont="1" applyBorder="1" applyAlignment="1" applyProtection="1">
      <alignment horizontal="center" vertical="center"/>
      <protection locked="0"/>
    </xf>
    <xf numFmtId="6" fontId="1" fillId="0" borderId="4" xfId="1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/>
    <xf numFmtId="0" fontId="18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17" fillId="4" borderId="18" xfId="0" applyFont="1" applyFill="1" applyBorder="1" applyAlignment="1">
      <alignment horizontal="center" vertical="center"/>
    </xf>
    <xf numFmtId="0" fontId="17" fillId="4" borderId="35" xfId="0" applyFont="1" applyFill="1" applyBorder="1" applyAlignment="1">
      <alignment horizontal="center" vertical="center"/>
    </xf>
    <xf numFmtId="0" fontId="17" fillId="4" borderId="29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  <xf numFmtId="167" fontId="1" fillId="4" borderId="29" xfId="0" applyNumberFormat="1" applyFont="1" applyFill="1" applyBorder="1" applyAlignment="1">
      <alignment horizontal="center" vertical="center"/>
    </xf>
    <xf numFmtId="168" fontId="1" fillId="4" borderId="29" xfId="0" applyNumberFormat="1" applyFont="1" applyFill="1" applyBorder="1" applyAlignment="1">
      <alignment horizontal="center" vertical="center"/>
    </xf>
    <xf numFmtId="169" fontId="1" fillId="4" borderId="29" xfId="0" applyNumberFormat="1" applyFont="1" applyFill="1" applyBorder="1" applyAlignment="1">
      <alignment horizontal="center" vertical="center"/>
    </xf>
    <xf numFmtId="170" fontId="1" fillId="4" borderId="29" xfId="0" applyNumberFormat="1" applyFont="1" applyFill="1" applyBorder="1" applyAlignment="1">
      <alignment horizontal="center" vertical="center"/>
    </xf>
    <xf numFmtId="1" fontId="1" fillId="4" borderId="29" xfId="0" applyNumberFormat="1" applyFont="1" applyFill="1" applyBorder="1" applyAlignment="1">
      <alignment horizontal="center" vertical="center"/>
    </xf>
    <xf numFmtId="165" fontId="1" fillId="4" borderId="29" xfId="0" applyNumberFormat="1" applyFont="1" applyFill="1" applyBorder="1" applyAlignment="1">
      <alignment horizontal="center" vertical="center"/>
    </xf>
    <xf numFmtId="44" fontId="1" fillId="4" borderId="35" xfId="1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36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1" fontId="1" fillId="0" borderId="16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72" fontId="4" fillId="2" borderId="1" xfId="0" applyNumberFormat="1" applyFont="1" applyFill="1" applyBorder="1" applyAlignment="1">
      <alignment horizontal="center" vertical="center"/>
    </xf>
    <xf numFmtId="172" fontId="4" fillId="2" borderId="2" xfId="0" applyNumberFormat="1" applyFont="1" applyFill="1" applyBorder="1" applyAlignment="1">
      <alignment horizontal="center" vertical="center"/>
    </xf>
    <xf numFmtId="172" fontId="4" fillId="2" borderId="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0" fontId="19" fillId="4" borderId="37" xfId="0" applyFont="1" applyFill="1" applyBorder="1" applyAlignment="1">
      <alignment horizontal="center" vertical="center"/>
    </xf>
    <xf numFmtId="0" fontId="19" fillId="4" borderId="38" xfId="0" applyFont="1" applyFill="1" applyBorder="1" applyAlignment="1">
      <alignment horizontal="center" vertical="center"/>
    </xf>
    <xf numFmtId="0" fontId="17" fillId="4" borderId="37" xfId="0" applyFont="1" applyFill="1" applyBorder="1" applyAlignment="1">
      <alignment horizontal="center" vertical="center"/>
    </xf>
    <xf numFmtId="0" fontId="17" fillId="4" borderId="38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1" fillId="6" borderId="14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15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67" fontId="1" fillId="4" borderId="5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168" fontId="1" fillId="4" borderId="5" xfId="0" applyNumberFormat="1" applyFont="1" applyFill="1" applyBorder="1" applyAlignment="1">
      <alignment horizontal="center" vertical="center"/>
    </xf>
    <xf numFmtId="169" fontId="1" fillId="4" borderId="5" xfId="0" applyNumberFormat="1" applyFont="1" applyFill="1" applyBorder="1" applyAlignment="1">
      <alignment horizontal="center" vertical="center"/>
    </xf>
    <xf numFmtId="170" fontId="1" fillId="4" borderId="5" xfId="0" applyNumberFormat="1" applyFont="1" applyFill="1" applyBorder="1" applyAlignment="1">
      <alignment horizontal="center" vertical="center"/>
    </xf>
    <xf numFmtId="1" fontId="1" fillId="4" borderId="5" xfId="0" applyNumberFormat="1" applyFont="1" applyFill="1" applyBorder="1" applyAlignment="1">
      <alignment horizontal="center" vertical="center"/>
    </xf>
    <xf numFmtId="165" fontId="1" fillId="4" borderId="5" xfId="0" applyNumberFormat="1" applyFont="1" applyFill="1" applyBorder="1" applyAlignment="1">
      <alignment horizontal="center" vertical="center"/>
    </xf>
    <xf numFmtId="6" fontId="1" fillId="4" borderId="5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center"/>
    </xf>
    <xf numFmtId="0" fontId="5" fillId="4" borderId="0" xfId="0" applyFont="1" applyFill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20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4" formatCode="#,##0\ &quot;€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002060"/>
        </top>
        <bottom style="thin">
          <color rgb="FF00206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70" formatCode="0\ &quot;W/FP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002060"/>
        </top>
        <bottom style="thin">
          <color rgb="FF00206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8" formatCode="0\ &quot;FP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  <protection locked="1" hidden="0"/>
    </dxf>
    <dxf>
      <font>
        <b/>
        <i val="0"/>
        <color rgb="FFFF0000"/>
      </font>
    </dxf>
    <dxf>
      <font>
        <color rgb="FFFF0000"/>
      </font>
    </dxf>
    <dxf>
      <font>
        <color theme="5"/>
      </font>
    </dxf>
    <dxf>
      <font>
        <color theme="7"/>
      </font>
    </dxf>
    <dxf>
      <font>
        <color theme="9"/>
      </font>
    </dxf>
    <dxf>
      <font>
        <color theme="9"/>
      </font>
    </dxf>
    <dxf>
      <font>
        <color theme="8"/>
      </font>
    </dxf>
    <dxf>
      <font>
        <color theme="7"/>
      </font>
    </dxf>
    <dxf>
      <font>
        <color theme="5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color theme="9"/>
      </font>
    </dxf>
    <dxf>
      <font>
        <color theme="9" tint="-0.24994659260841701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b/>
        <i val="0"/>
        <color rgb="FFFF0000"/>
      </font>
    </dxf>
    <dxf>
      <font>
        <color theme="9"/>
      </font>
    </dxf>
    <dxf>
      <font>
        <color theme="9" tint="-0.24994659260841701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b/>
        <i val="0"/>
        <color rgb="FFFF0000"/>
      </font>
    </dxf>
    <dxf>
      <font>
        <color theme="9"/>
      </font>
    </dxf>
    <dxf>
      <font>
        <color theme="9" tint="-0.24994659260841701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b/>
        <i val="0"/>
        <color rgb="FFFF0000"/>
      </font>
    </dxf>
    <dxf>
      <font>
        <color theme="9"/>
      </font>
    </dxf>
    <dxf>
      <font>
        <color theme="9" tint="-0.24994659260841701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/>
      </font>
    </dxf>
    <dxf>
      <font>
        <color theme="7"/>
      </font>
    </dxf>
    <dxf>
      <font>
        <color theme="9"/>
      </font>
    </dxf>
    <dxf>
      <font>
        <color theme="9"/>
      </font>
    </dxf>
    <dxf>
      <font>
        <color theme="8"/>
      </font>
    </dxf>
    <dxf>
      <font>
        <color theme="7"/>
      </font>
    </dxf>
    <dxf>
      <font>
        <color theme="5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/>
      </font>
    </dxf>
    <dxf>
      <font>
        <color theme="7"/>
      </font>
    </dxf>
    <dxf>
      <font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/>
      </font>
    </dxf>
    <dxf>
      <font>
        <color theme="7"/>
      </font>
    </dxf>
    <dxf>
      <font>
        <color theme="9"/>
      </font>
    </dxf>
    <dxf>
      <font>
        <color theme="9"/>
      </font>
    </dxf>
    <dxf>
      <font>
        <color theme="8"/>
      </font>
    </dxf>
    <dxf>
      <font>
        <color theme="7"/>
      </font>
    </dxf>
    <dxf>
      <font>
        <color theme="5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color theme="9"/>
      </font>
    </dxf>
    <dxf>
      <font>
        <color theme="9" tint="-0.24994659260841701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b/>
        <i val="0"/>
        <color rgb="FFFF0000"/>
      </font>
    </dxf>
    <dxf>
      <font>
        <color theme="9"/>
      </font>
    </dxf>
    <dxf>
      <font>
        <color theme="9" tint="-0.24994659260841701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0000"/>
      </font>
    </dxf>
    <dxf>
      <font>
        <color rgb="FFFF0000"/>
      </font>
    </dxf>
    <dxf>
      <font>
        <color theme="5"/>
      </font>
    </dxf>
    <dxf>
      <font>
        <color theme="7"/>
      </font>
    </dxf>
    <dxf>
      <font>
        <color theme="9"/>
      </font>
    </dxf>
    <dxf>
      <font>
        <color theme="9"/>
      </font>
    </dxf>
    <dxf>
      <font>
        <color theme="8"/>
      </font>
    </dxf>
    <dxf>
      <font>
        <color theme="7"/>
      </font>
    </dxf>
    <dxf>
      <font>
        <color theme="5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0" formatCode="#,##0\ &quot;€&quot;;[Red]\-#,##0\ &quot;€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71" formatCode="0\ 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5" formatCode="0\ &quot;W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8" formatCode="0\ &quot;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7" formatCode="0\ &quot;GB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70" formatCode="0\ &quot;W/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9" formatCode="0\ &quot;€/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border outline="0">
        <top style="thin">
          <color rgb="FF002060"/>
        </top>
      </border>
    </dxf>
    <dxf>
      <border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0" formatCode="#,##0\ &quot;€&quot;;[Red]\-#,##0\ &quot;€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5" formatCode="0\ &quot;W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8" formatCode="0\ &quot;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7" formatCode="0\ &quot;GB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002060"/>
        </top>
        <bottom style="thin">
          <color rgb="FF00206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70" formatCode="0\ &quot;W/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9" formatCode="0\ &quot;€/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2060"/>
        </top>
        <bottom style="thin">
          <color rgb="FF002060"/>
        </bottom>
      </border>
    </dxf>
    <dxf>
      <border outline="0">
        <top style="thin">
          <color rgb="FF002060"/>
        </top>
      </border>
    </dxf>
    <dxf>
      <border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0" formatCode="#,##0\ &quot;€&quot;;[Red]\-#,##0\ &quot;€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71" formatCode="0\ 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5" formatCode="0\ &quot;W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8" formatCode="0\ &quot;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7" formatCode="0\ &quot;GB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002060"/>
        </top>
        <bottom style="thin">
          <color rgb="FF00206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70" formatCode="0\ &quot;W/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9" formatCode="0\ &quot;€/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2060"/>
        </top>
        <bottom style="thin">
          <color rgb="FF002060"/>
        </bottom>
      </border>
    </dxf>
    <dxf>
      <border outline="0">
        <top style="thin">
          <color rgb="FF002060"/>
        </top>
      </border>
    </dxf>
    <dxf>
      <border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0" formatCode="#,##0\ &quot;€&quot;;[Red]\-#,##0\ &quot;€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5" formatCode="0\ &quot;W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8" formatCode="0\ &quot;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7" formatCode="0\ &quot;GB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70" formatCode="0\ &quot;W/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9" formatCode="0\ &quot;€/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auto="1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top style="thin">
          <color rgb="FF002060"/>
        </top>
      </border>
    </dxf>
    <dxf>
      <border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0" formatCode="#,##0\ &quot;€&quot;;[Red]\-#,##0\ &quot;€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5" formatCode="0\ &quot;W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70" formatCode="0\ &quot;W/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9" formatCode="0\ &quot;€/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8" formatCode="0\ &quot;FP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7" formatCode="0\ &quot;GB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entury Gothic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9" formatCode="0\ &quot;€/FP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5" formatCode="0\ &quot;W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8" formatCode="0\ &quot;FP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8" formatCode="0\ &quot;FP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8" formatCode="0\ &quot;FP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2060"/>
        </top>
        <bottom style="thin">
          <color rgb="FF002060"/>
        </bottom>
      </border>
    </dxf>
    <dxf>
      <border outline="0">
        <top style="thin">
          <color rgb="FF002060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0" formatCode="#,##0\ &quot;€&quot;;[Red]\-#,##0\ &quot;€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5" formatCode="0\ &quot;W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6" formatCode="0\ &quot;MHz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73" formatCode="&quot;Fins&quot;\ 0\ &quot;ventilador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rgb="FF00206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  <vertic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numFmt numFmtId="167" formatCode="0\ &quot;GB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rgb="FF002060"/>
        </top>
        <bottom style="thin">
          <color rgb="FF002060"/>
        </bottom>
      </border>
      <protection locked="0" hidden="0"/>
    </dxf>
    <dxf>
      <border outline="0">
        <top style="thin">
          <color rgb="FF002060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 val="0"/>
        <strike val="0"/>
        <u val="none"/>
        <name val="Century Gothic"/>
        <family val="2"/>
        <scheme val="none"/>
      </font>
    </dxf>
    <dxf>
      <font>
        <name val="Century Gothic"/>
        <family val="2"/>
        <scheme val="none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2" defaultTableStyle="TableStyleMedium2" defaultPivotStyle="PivotStyleLight16">
    <tableStyle name="Estilo de segmentación de datos 1" pivot="0" table="0" count="7" xr9:uid="{79A069DC-4C37-409E-916F-FB3120826552}">
      <tableStyleElement type="wholeTable" dxfId="204"/>
      <tableStyleElement type="headerRow" dxfId="203"/>
    </tableStyle>
    <tableStyle name="TablaGPU" pivot="0" count="4" xr9:uid="{68DA1CA5-F942-4336-BBA2-CA9648FD2888}">
      <tableStyleElement type="wholeTable" dxfId="202"/>
      <tableStyleElement type="headerRow" dxfId="201"/>
      <tableStyleElement type="secondRowStripe" dxfId="200"/>
      <tableStyleElement type="firstColumnStripe" dxfId="199"/>
    </tableStyle>
  </tableStyles>
  <colors>
    <mruColors>
      <color rgb="FFFF9D9D"/>
      <color rgb="FFE4F0DC"/>
      <color rgb="FF1F4E78"/>
      <color rgb="FFFFE3D5"/>
    </mruColors>
  </colors>
  <extLst>
    <ext xmlns:x14="http://schemas.microsoft.com/office/spreadsheetml/2009/9/main" uri="{46F421CA-312F-682f-3DD2-61675219B42D}">
      <x14:dxfs count="5">
        <dxf>
          <fill>
            <patternFill>
              <bgColor theme="0" tint="-4.9989318521683403E-2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ill>
            <patternFill>
              <bgColor theme="0" tint="-4.9989318521683403E-2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ill>
            <patternFill>
              <bgColor theme="0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auto="1"/>
          </font>
          <fill>
            <patternFill>
              <bgColor theme="0" tint="-0.14996795556505021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4"/>
            <x14:slicerStyleElement type="selectedItemWithData" dxfId="3"/>
            <x14:slicerStyleElement type="selectedItemWithNo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5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4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sharedStrings" Target="sharedStrings.xml"/><Relationship Id="rId5" Type="http://schemas.microsoft.com/office/2007/relationships/slicerCache" Target="slicerCaches/slicerCache2.xml"/><Relationship Id="rId10" Type="http://schemas.openxmlformats.org/officeDocument/2006/relationships/styles" Target="styles.xml"/><Relationship Id="rId4" Type="http://schemas.microsoft.com/office/2007/relationships/slicerCache" Target="slicerCaches/slicerCache1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Valores Ray Tracing?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4A-466D-8636-16788D386E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4A-466D-8636-16788D386E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4A-466D-8636-16788D386E67}"/>
              </c:ext>
            </c:extLst>
          </c:dPt>
          <c:cat>
            <c:strRef>
              <c:f>Recomendador!$C$46:$C$48</c:f>
              <c:strCache>
                <c:ptCount val="3"/>
                <c:pt idx="0">
                  <c:v>Si</c:v>
                </c:pt>
                <c:pt idx="1">
                  <c:v>No</c:v>
                </c:pt>
                <c:pt idx="2">
                  <c:v>Neutre</c:v>
                </c:pt>
              </c:strCache>
            </c:strRef>
          </c:cat>
          <c:val>
            <c:numRef>
              <c:f>Recomendador!$D$46:$D$48</c:f>
              <c:numCache>
                <c:formatCode>General</c:formatCode>
                <c:ptCount val="3"/>
                <c:pt idx="0">
                  <c:v>24</c:v>
                </c:pt>
                <c:pt idx="1">
                  <c:v>0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B-4B3D-AD71-BA2CBD9B7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Valores DLSS?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C88-4CC2-BAEA-41E38C6AC7D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C88-4CC2-BAEA-41E38C6AC7D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C88-4CC2-BAEA-41E38C6AC7DE}"/>
              </c:ext>
            </c:extLst>
          </c:dPt>
          <c:cat>
            <c:strRef>
              <c:f>Recomendador!$E$46:$E$48</c:f>
              <c:strCache>
                <c:ptCount val="3"/>
                <c:pt idx="0">
                  <c:v>Si</c:v>
                </c:pt>
                <c:pt idx="1">
                  <c:v>No</c:v>
                </c:pt>
                <c:pt idx="2">
                  <c:v>Neutre</c:v>
                </c:pt>
              </c:strCache>
            </c:strRef>
          </c:cat>
          <c:val>
            <c:numRef>
              <c:f>Recomendador!$F$46:$F$48</c:f>
              <c:numCache>
                <c:formatCode>General</c:formatCode>
                <c:ptCount val="3"/>
                <c:pt idx="0">
                  <c:v>9</c:v>
                </c:pt>
                <c:pt idx="1">
                  <c:v>15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E-4772-8FA2-8DDC8FC21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Prefereixes DLSS o FSR?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6B-4CB3-891D-48A7DC9E1A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6B-4CB3-891D-48A7DC9E1A3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6B-4CB3-891D-48A7DC9E1A34}"/>
              </c:ext>
            </c:extLst>
          </c:dPt>
          <c:cat>
            <c:strRef>
              <c:f>Recomendador!$G$46:$G$48</c:f>
              <c:strCache>
                <c:ptCount val="3"/>
                <c:pt idx="0">
                  <c:v>DLSS</c:v>
                </c:pt>
                <c:pt idx="1">
                  <c:v>FSR</c:v>
                </c:pt>
                <c:pt idx="2">
                  <c:v>Neutre</c:v>
                </c:pt>
              </c:strCache>
            </c:strRef>
          </c:cat>
          <c:val>
            <c:numRef>
              <c:f>Recomendador!$H$46:$H$48</c:f>
              <c:numCache>
                <c:formatCode>General</c:formatCode>
                <c:ptCount val="3"/>
                <c:pt idx="0">
                  <c:v>21</c:v>
                </c:pt>
                <c:pt idx="1">
                  <c:v>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6-493E-8B9C-49B33216E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Que prefereixes?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F8-4020-A275-689764FDEB6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F8-4020-A275-689764FDEB6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F8-4020-A275-689764FDEB64}"/>
              </c:ext>
            </c:extLst>
          </c:dPt>
          <c:cat>
            <c:strRef>
              <c:f>Recomendador!$I$46:$I$48</c:f>
              <c:strCache>
                <c:ptCount val="3"/>
                <c:pt idx="0">
                  <c:v>Nvidia</c:v>
                </c:pt>
                <c:pt idx="1">
                  <c:v>AMD</c:v>
                </c:pt>
                <c:pt idx="2">
                  <c:v>Neutre</c:v>
                </c:pt>
              </c:strCache>
            </c:strRef>
          </c:cat>
          <c:val>
            <c:numRef>
              <c:f>Recomendador!$J$46:$J$48</c:f>
              <c:numCache>
                <c:formatCode>General</c:formatCode>
                <c:ptCount val="3"/>
                <c:pt idx="0">
                  <c:v>17</c:v>
                </c:pt>
                <c:pt idx="1">
                  <c:v>7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69-47A0-9A3E-402B2894D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Que valores més?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8B-4823-87A5-828311F7F0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48B-4823-87A5-828311F7F0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48B-4823-87A5-828311F7F0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48B-4823-87A5-828311F7F0CD}"/>
              </c:ext>
            </c:extLst>
          </c:dPt>
          <c:cat>
            <c:strRef>
              <c:f>Recomendador!$K$46:$K$49</c:f>
              <c:strCache>
                <c:ptCount val="4"/>
                <c:pt idx="0">
                  <c:v>Disseny</c:v>
                </c:pt>
                <c:pt idx="1">
                  <c:v>Rendiment-preu</c:v>
                </c:pt>
                <c:pt idx="2">
                  <c:v>consum-preu</c:v>
                </c:pt>
                <c:pt idx="3">
                  <c:v>un equilibri</c:v>
                </c:pt>
              </c:strCache>
            </c:strRef>
          </c:cat>
          <c:val>
            <c:numRef>
              <c:f>Recomendador!$L$46:$L$49</c:f>
              <c:numCache>
                <c:formatCode>General</c:formatCode>
                <c:ptCount val="4"/>
                <c:pt idx="0">
                  <c:v>2</c:v>
                </c:pt>
                <c:pt idx="1">
                  <c:v>18</c:v>
                </c:pt>
                <c:pt idx="2">
                  <c:v>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A0-4B0F-8092-22D7446C2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 quina resolució</a:t>
            </a:r>
            <a:r>
              <a:rPr lang="es-ES" baseline="0"/>
              <a:t> Jugues?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4B-47DC-AF17-F35A0AC32AF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4B-47DC-AF17-F35A0AC32AF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4B-47DC-AF17-F35A0AC32AF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44B-47DC-AF17-F35A0AC32AF1}"/>
              </c:ext>
            </c:extLst>
          </c:dPt>
          <c:cat>
            <c:strRef>
              <c:f>Recomendador!$M$46:$M$49</c:f>
              <c:strCache>
                <c:ptCount val="4"/>
                <c:pt idx="0">
                  <c:v>1280x720</c:v>
                </c:pt>
                <c:pt idx="1">
                  <c:v>1920x1080</c:v>
                </c:pt>
                <c:pt idx="2">
                  <c:v>2560x1440</c:v>
                </c:pt>
                <c:pt idx="3">
                  <c:v>3840x2160</c:v>
                </c:pt>
              </c:strCache>
            </c:strRef>
          </c:cat>
          <c:val>
            <c:numRef>
              <c:f>Recomendador!$N$46:$N$49</c:f>
              <c:numCache>
                <c:formatCode>General</c:formatCode>
                <c:ptCount val="4"/>
                <c:pt idx="0">
                  <c:v>1</c:v>
                </c:pt>
                <c:pt idx="1">
                  <c:v>22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05-40A3-8F02-70B7159C4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hyperlink" Target="#'Rendiment'!A1"/><Relationship Id="rId12" Type="http://schemas.openxmlformats.org/officeDocument/2006/relationships/image" Target="../media/image8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0" Type="http://schemas.openxmlformats.org/officeDocument/2006/relationships/hyperlink" Target="#Recomendador!A1"/><Relationship Id="rId4" Type="http://schemas.microsoft.com/office/2007/relationships/hdphoto" Target="../media/hdphoto1.wdp"/><Relationship Id="rId9" Type="http://schemas.openxmlformats.org/officeDocument/2006/relationships/image" Target="../media/image6.svg"/><Relationship Id="rId14" Type="http://schemas.openxmlformats.org/officeDocument/2006/relationships/image" Target="../media/image10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3" Type="http://schemas.openxmlformats.org/officeDocument/2006/relationships/image" Target="../media/image7.png"/><Relationship Id="rId7" Type="http://schemas.openxmlformats.org/officeDocument/2006/relationships/image" Target="../media/image9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hyperlink" Target="#GPU!A1"/><Relationship Id="rId5" Type="http://schemas.openxmlformats.org/officeDocument/2006/relationships/hyperlink" Target="#Recomendador!A1"/><Relationship Id="rId4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chart" Target="../charts/chart5.xml"/><Relationship Id="rId3" Type="http://schemas.openxmlformats.org/officeDocument/2006/relationships/image" Target="../media/image6.svg"/><Relationship Id="rId7" Type="http://schemas.openxmlformats.org/officeDocument/2006/relationships/image" Target="../media/image9.png"/><Relationship Id="rId12" Type="http://schemas.openxmlformats.org/officeDocument/2006/relationships/chart" Target="../charts/chart4.xml"/><Relationship Id="rId2" Type="http://schemas.openxmlformats.org/officeDocument/2006/relationships/image" Target="../media/image5.png"/><Relationship Id="rId1" Type="http://schemas.openxmlformats.org/officeDocument/2006/relationships/hyperlink" Target="#'Rendiment'!A1"/><Relationship Id="rId6" Type="http://schemas.openxmlformats.org/officeDocument/2006/relationships/hyperlink" Target="#GPU!A1"/><Relationship Id="rId11" Type="http://schemas.openxmlformats.org/officeDocument/2006/relationships/chart" Target="../charts/chart3.xml"/><Relationship Id="rId5" Type="http://schemas.openxmlformats.org/officeDocument/2006/relationships/image" Target="../media/image8.svg"/><Relationship Id="rId10" Type="http://schemas.openxmlformats.org/officeDocument/2006/relationships/chart" Target="../charts/chart2.xml"/><Relationship Id="rId4" Type="http://schemas.openxmlformats.org/officeDocument/2006/relationships/image" Target="../media/image7.png"/><Relationship Id="rId9" Type="http://schemas.openxmlformats.org/officeDocument/2006/relationships/chart" Target="../charts/chart1.xml"/><Relationship Id="rId1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41187</xdr:colOff>
      <xdr:row>3</xdr:row>
      <xdr:rowOff>72286</xdr:rowOff>
    </xdr:from>
    <xdr:to>
      <xdr:col>13</xdr:col>
      <xdr:colOff>1841187</xdr:colOff>
      <xdr:row>6</xdr:row>
      <xdr:rowOff>219934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Gama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94890" y="1400637"/>
              <a:ext cx="1800000" cy="147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41188</xdr:colOff>
      <xdr:row>6</xdr:row>
      <xdr:rowOff>253723</xdr:rowOff>
    </xdr:from>
    <xdr:to>
      <xdr:col>13</xdr:col>
      <xdr:colOff>1841188</xdr:colOff>
      <xdr:row>11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Arquitectura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quitectu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94891" y="2910426"/>
              <a:ext cx="1800000" cy="16718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30892</xdr:colOff>
      <xdr:row>11</xdr:row>
      <xdr:rowOff>41190</xdr:rowOff>
    </xdr:from>
    <xdr:to>
      <xdr:col>13</xdr:col>
      <xdr:colOff>1830892</xdr:colOff>
      <xdr:row>13</xdr:row>
      <xdr:rowOff>370114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Resolució Estable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olució Estab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84595" y="4626165"/>
              <a:ext cx="1800000" cy="23142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30892</xdr:colOff>
      <xdr:row>13</xdr:row>
      <xdr:rowOff>402771</xdr:rowOff>
    </xdr:from>
    <xdr:to>
      <xdr:col>13</xdr:col>
      <xdr:colOff>1830892</xdr:colOff>
      <xdr:row>20</xdr:row>
      <xdr:rowOff>422188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Memoria VRAM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moria VRA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84595" y="6977857"/>
              <a:ext cx="1800000" cy="23000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>
    <xdr:from>
      <xdr:col>13</xdr:col>
      <xdr:colOff>30892</xdr:colOff>
      <xdr:row>24</xdr:row>
      <xdr:rowOff>41188</xdr:rowOff>
    </xdr:from>
    <xdr:to>
      <xdr:col>13</xdr:col>
      <xdr:colOff>1812323</xdr:colOff>
      <xdr:row>24</xdr:row>
      <xdr:rowOff>401593</xdr:rowOff>
    </xdr:to>
    <xdr:sp macro="[0]!Insertar_GPU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784595" y="10667999"/>
          <a:ext cx="1781431" cy="360405"/>
        </a:xfrm>
        <a:prstGeom prst="roundRect">
          <a:avLst>
            <a:gd name="adj" fmla="val 9167"/>
          </a:avLst>
        </a:prstGeom>
        <a:solidFill>
          <a:srgbClr val="1F4E78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>
              <a:latin typeface="Century Gothic" panose="020B0502020202020204" pitchFamily="34" charset="0"/>
            </a:rPr>
            <a:t>Inserir GPU</a:t>
          </a:r>
        </a:p>
      </xdr:txBody>
    </xdr:sp>
    <xdr:clientData/>
  </xdr:twoCellAnchor>
  <xdr:twoCellAnchor editAs="oneCell">
    <xdr:from>
      <xdr:col>1</xdr:col>
      <xdr:colOff>446313</xdr:colOff>
      <xdr:row>32</xdr:row>
      <xdr:rowOff>0</xdr:rowOff>
    </xdr:from>
    <xdr:to>
      <xdr:col>4</xdr:col>
      <xdr:colOff>16174</xdr:colOff>
      <xdr:row>35</xdr:row>
      <xdr:rowOff>115179</xdr:rowOff>
    </xdr:to>
    <xdr:grpSp>
      <xdr:nvGrpSpPr>
        <xdr:cNvPr id="38" name="Grup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2213730" y="14224000"/>
          <a:ext cx="2871861" cy="1448679"/>
          <a:chOff x="2234513" y="13283514"/>
          <a:chExt cx="2852352" cy="1462216"/>
        </a:xfrm>
      </xdr:grpSpPr>
      <xdr:grpSp>
        <xdr:nvGrpSpPr>
          <xdr:cNvPr id="30" name="Grupo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GrpSpPr/>
        </xdr:nvGrpSpPr>
        <xdr:grpSpPr>
          <a:xfrm>
            <a:off x="2234513" y="13283514"/>
            <a:ext cx="2852351" cy="1462216"/>
            <a:chOff x="2213919" y="15270892"/>
            <a:chExt cx="2852351" cy="1462216"/>
          </a:xfrm>
        </xdr:grpSpPr>
        <xdr:sp macro="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213919" y="15270892"/>
              <a:ext cx="2852351" cy="1462216"/>
            </a:xfrm>
            <a:prstGeom prst="rect">
              <a:avLst/>
            </a:prstGeom>
            <a:solidFill>
              <a:srgbClr val="1F4E78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s-ES" sz="2000">
                  <a:latin typeface="Century Gothic" panose="020B0502020202020204" pitchFamily="34" charset="0"/>
                </a:rPr>
                <a:t>Ordenar gama</a:t>
              </a:r>
            </a:p>
          </xdr:txBody>
        </xdr:sp>
        <xdr:pic macro="[0]!Ordenar_gama">
          <xdr:nvPicPr>
            <xdr:cNvPr id="22" name="Gráfico 21" descr="Atrás con relleno sólido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 rot="16200000">
              <a:off x="2374556" y="15761040"/>
              <a:ext cx="914400" cy="914400"/>
            </a:xfrm>
            <a:prstGeom prst="rect">
              <a:avLst/>
            </a:prstGeom>
          </xdr:spPr>
        </xdr:pic>
        <xdr:pic macro="[0]!Ordenar_gama">
          <xdr:nvPicPr>
            <xdr:cNvPr id="23" name="Gráfico 22" descr="Atrás con relleno sólido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 rot="5400000">
              <a:off x="3810000" y="15765160"/>
              <a:ext cx="914400" cy="914400"/>
            </a:xfrm>
            <a:prstGeom prst="rect">
              <a:avLst/>
            </a:prstGeom>
          </xdr:spPr>
        </xdr:pic>
      </xdr:grpSp>
      <xdr:cxnSp macro="">
        <xdr:nvCxnSpPr>
          <xdr:cNvPr id="32" name="Conector recto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/>
        </xdr:nvCxnSpPr>
        <xdr:spPr>
          <a:xfrm>
            <a:off x="2234514" y="13767486"/>
            <a:ext cx="2852351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" name="Conector recto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endCxn id="21" idx="2"/>
          </xdr:cNvCxnSpPr>
        </xdr:nvCxnSpPr>
        <xdr:spPr>
          <a:xfrm>
            <a:off x="3660689" y="13777784"/>
            <a:ext cx="0" cy="96794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4</xdr:col>
      <xdr:colOff>738168</xdr:colOff>
      <xdr:row>32</xdr:row>
      <xdr:rowOff>0</xdr:rowOff>
    </xdr:from>
    <xdr:to>
      <xdr:col>6</xdr:col>
      <xdr:colOff>776114</xdr:colOff>
      <xdr:row>35</xdr:row>
      <xdr:rowOff>115179</xdr:rowOff>
    </xdr:to>
    <xdr:grpSp>
      <xdr:nvGrpSpPr>
        <xdr:cNvPr id="48" name="Grupo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5807585" y="14224000"/>
          <a:ext cx="2874279" cy="1448679"/>
          <a:chOff x="6516131" y="15042292"/>
          <a:chExt cx="2893798" cy="1462216"/>
        </a:xfrm>
      </xdr:grpSpPr>
      <xdr:sp macro="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6516131" y="15042292"/>
            <a:ext cx="2852351" cy="1462216"/>
          </a:xfrm>
          <a:prstGeom prst="rect">
            <a:avLst/>
          </a:prstGeom>
          <a:solidFill>
            <a:srgbClr val="1F4E78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2000">
                <a:latin typeface="Century Gothic" panose="020B0502020202020204" pitchFamily="34" charset="0"/>
              </a:rPr>
              <a:t>Ordenar Fabricant</a:t>
            </a:r>
          </a:p>
        </xdr:txBody>
      </xdr:sp>
      <xdr:cxnSp macro="">
        <xdr:nvCxnSpPr>
          <xdr:cNvPr id="41" name="Conector recto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CxnSpPr/>
        </xdr:nvCxnSpPr>
        <xdr:spPr>
          <a:xfrm>
            <a:off x="6516132" y="15526264"/>
            <a:ext cx="2852351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Conector recto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>
            <a:endCxn id="43" idx="2"/>
          </xdr:cNvCxnSpPr>
        </xdr:nvCxnSpPr>
        <xdr:spPr>
          <a:xfrm>
            <a:off x="7942307" y="15536562"/>
            <a:ext cx="0" cy="96794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pic macro="[0]!OrdenarFabricante">
        <xdr:nvPicPr>
          <xdr:cNvPr id="46" name="Imagen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artisticPhotocopy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639698" y="15876375"/>
            <a:ext cx="1173891" cy="280175"/>
          </a:xfrm>
          <a:prstGeom prst="rect">
            <a:avLst/>
          </a:prstGeom>
        </xdr:spPr>
      </xdr:pic>
      <xdr:pic macro="[0]!OrdenarFabricanteNvidia">
        <xdr:nvPicPr>
          <xdr:cNvPr id="47" name="Imagen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biLevel thresh="50000"/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artisticPhotocopy/>
                    </a14:imgEffect>
                  </a14:imgLayer>
                </a14:imgProps>
              </a:ext>
            </a:extLst>
          </a:blip>
          <a:srcRect t="67471"/>
          <a:stretch/>
        </xdr:blipFill>
        <xdr:spPr>
          <a:xfrm>
            <a:off x="8029833" y="15845480"/>
            <a:ext cx="1380096" cy="312304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1399551</xdr:colOff>
      <xdr:row>32</xdr:row>
      <xdr:rowOff>0</xdr:rowOff>
    </xdr:from>
    <xdr:to>
      <xdr:col>9</xdr:col>
      <xdr:colOff>22354</xdr:colOff>
      <xdr:row>35</xdr:row>
      <xdr:rowOff>115179</xdr:rowOff>
    </xdr:to>
    <xdr:grpSp>
      <xdr:nvGrpSpPr>
        <xdr:cNvPr id="57" name="Grupo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9305301" y="14224000"/>
          <a:ext cx="2877303" cy="1448679"/>
          <a:chOff x="10725666" y="15132908"/>
          <a:chExt cx="2852352" cy="1462216"/>
        </a:xfrm>
      </xdr:grpSpPr>
      <xdr:sp macro="" textlink="">
        <xdr:nvSpPr>
          <xdr:cNvPr id="50" name="Rectángulo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/>
        </xdr:nvSpPr>
        <xdr:spPr>
          <a:xfrm>
            <a:off x="10725666" y="15132908"/>
            <a:ext cx="2852351" cy="1462216"/>
          </a:xfrm>
          <a:prstGeom prst="rect">
            <a:avLst/>
          </a:prstGeom>
          <a:solidFill>
            <a:srgbClr val="1F4E78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2000">
                <a:latin typeface="Century Gothic" panose="020B0502020202020204" pitchFamily="34" charset="0"/>
              </a:rPr>
              <a:t>Ordenar VRAM</a:t>
            </a:r>
          </a:p>
        </xdr:txBody>
      </xdr:sp>
      <xdr:cxnSp macro="">
        <xdr:nvCxnSpPr>
          <xdr:cNvPr id="51" name="Conector recto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>
            <a:off x="10725667" y="15616880"/>
            <a:ext cx="2852351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Conector recto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>
            <a:endCxn id="50" idx="2"/>
          </xdr:cNvCxnSpPr>
        </xdr:nvCxnSpPr>
        <xdr:spPr>
          <a:xfrm>
            <a:off x="12151842" y="15627178"/>
            <a:ext cx="0" cy="96794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pic macro="[0]!Ordenar_VRAM">
        <xdr:nvPicPr>
          <xdr:cNvPr id="55" name="Gráfico 54" descr="Atrás con relleno sólido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rot="16200000">
            <a:off x="10911016" y="15647772"/>
            <a:ext cx="914400" cy="914400"/>
          </a:xfrm>
          <a:prstGeom prst="rect">
            <a:avLst/>
          </a:prstGeom>
        </xdr:spPr>
      </xdr:pic>
      <xdr:pic macro="[0]!Ordenar_VRAM_Descendente">
        <xdr:nvPicPr>
          <xdr:cNvPr id="56" name="Gráfico 55" descr="Atrás con relleno sólido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rot="5400000">
            <a:off x="12360875" y="15656009"/>
            <a:ext cx="914400" cy="91440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37687</xdr:colOff>
      <xdr:row>21</xdr:row>
      <xdr:rowOff>7826</xdr:rowOff>
    </xdr:from>
    <xdr:to>
      <xdr:col>13</xdr:col>
      <xdr:colOff>1837687</xdr:colOff>
      <xdr:row>23</xdr:row>
      <xdr:rowOff>391297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Ray Tracing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y Tracin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91390" y="9306285"/>
              <a:ext cx="1800000" cy="1269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>
    <xdr:from>
      <xdr:col>9</xdr:col>
      <xdr:colOff>1397491</xdr:colOff>
      <xdr:row>32</xdr:row>
      <xdr:rowOff>4119</xdr:rowOff>
    </xdr:from>
    <xdr:to>
      <xdr:col>12</xdr:col>
      <xdr:colOff>20294</xdr:colOff>
      <xdr:row>35</xdr:row>
      <xdr:rowOff>115767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3557741" y="14228119"/>
          <a:ext cx="2877303" cy="1445148"/>
          <a:chOff x="13627445" y="12432957"/>
          <a:chExt cx="2880000" cy="1440000"/>
        </a:xfrm>
      </xdr:grpSpPr>
      <xdr:sp macro="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13627445" y="12432957"/>
            <a:ext cx="2879999" cy="1440000"/>
          </a:xfrm>
          <a:prstGeom prst="rect">
            <a:avLst/>
          </a:prstGeom>
          <a:solidFill>
            <a:srgbClr val="1F4E78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2000">
                <a:latin typeface="Century Gothic" panose="020B0502020202020204" pitchFamily="34" charset="0"/>
              </a:rPr>
              <a:t>Ordenar Preu</a:t>
            </a:r>
          </a:p>
        </xdr:txBody>
      </xdr:sp>
      <xdr:cxnSp macro="">
        <xdr:nvCxnSpPr>
          <xdr:cNvPr id="15" name="Conector recto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13627446" y="12909576"/>
            <a:ext cx="2879999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Conector recto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>
            <a:endCxn id="14" idx="2"/>
          </xdr:cNvCxnSpPr>
        </xdr:nvCxnSpPr>
        <xdr:spPr>
          <a:xfrm>
            <a:off x="15067445" y="12919717"/>
            <a:ext cx="0" cy="95324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pic macro="[0]!Ordenar_Precio_Ascendente">
        <xdr:nvPicPr>
          <xdr:cNvPr id="17" name="Gráfico 16" descr="Atrás con relleno sólido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rot="16200000">
            <a:off x="13825970" y="12928620"/>
            <a:ext cx="900507" cy="923263"/>
          </a:xfrm>
          <a:prstGeom prst="rect">
            <a:avLst/>
          </a:prstGeom>
        </xdr:spPr>
      </xdr:pic>
      <xdr:pic macro="[0]!Ordenar_Precio_Descendente">
        <xdr:nvPicPr>
          <xdr:cNvPr id="18" name="Gráfico 17" descr="Atrás con relleno sólid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rot="5400000">
            <a:off x="15289882" y="12936732"/>
            <a:ext cx="900507" cy="9232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458671</xdr:colOff>
      <xdr:row>36</xdr:row>
      <xdr:rowOff>2060</xdr:rowOff>
    </xdr:from>
    <xdr:to>
      <xdr:col>4</xdr:col>
      <xdr:colOff>28532</xdr:colOff>
      <xdr:row>39</xdr:row>
      <xdr:rowOff>113709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2226088" y="16004060"/>
          <a:ext cx="2871861" cy="1445149"/>
          <a:chOff x="9403494" y="14305006"/>
          <a:chExt cx="2880000" cy="1440000"/>
        </a:xfrm>
      </xdr:grpSpPr>
      <xdr:sp macro="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9403494" y="14305006"/>
            <a:ext cx="2879999" cy="1440000"/>
          </a:xfrm>
          <a:prstGeom prst="rect">
            <a:avLst/>
          </a:prstGeom>
          <a:solidFill>
            <a:srgbClr val="1F4E78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2000">
                <a:latin typeface="Century Gothic" panose="020B0502020202020204" pitchFamily="34" charset="0"/>
              </a:rPr>
              <a:t>Ordenar Consum</a:t>
            </a:r>
          </a:p>
        </xdr:txBody>
      </xdr:sp>
      <xdr:cxnSp macro="">
        <xdr:nvCxnSpPr>
          <xdr:cNvPr id="20" name="Conector recto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CxnSpPr/>
        </xdr:nvCxnSpPr>
        <xdr:spPr>
          <a:xfrm>
            <a:off x="9403495" y="14781625"/>
            <a:ext cx="2879999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Conector recto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CxnSpPr>
            <a:endCxn id="19" idx="2"/>
          </xdr:cNvCxnSpPr>
        </xdr:nvCxnSpPr>
        <xdr:spPr>
          <a:xfrm>
            <a:off x="10843494" y="14791766"/>
            <a:ext cx="0" cy="95324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pic macro="[0]!Consum_Ascendent">
        <xdr:nvPicPr>
          <xdr:cNvPr id="25" name="Gráfico 24" descr="Atrás con relleno sólido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rot="16200000">
            <a:off x="9602019" y="14800669"/>
            <a:ext cx="900507" cy="923263"/>
          </a:xfrm>
          <a:prstGeom prst="rect">
            <a:avLst/>
          </a:prstGeom>
        </xdr:spPr>
      </xdr:pic>
      <xdr:pic macro="[0]!Macros_Descendent">
        <xdr:nvPicPr>
          <xdr:cNvPr id="26" name="Gráfico 25" descr="Atrás con relleno sólido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rot="5400000">
            <a:off x="11065931" y="14808781"/>
            <a:ext cx="900507" cy="9232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20595</xdr:colOff>
      <xdr:row>2</xdr:row>
      <xdr:rowOff>231973</xdr:rowOff>
    </xdr:from>
    <xdr:to>
      <xdr:col>1</xdr:col>
      <xdr:colOff>10298</xdr:colOff>
      <xdr:row>3</xdr:row>
      <xdr:rowOff>242271</xdr:rowOff>
    </xdr:to>
    <xdr:grpSp>
      <xdr:nvGrpSpPr>
        <xdr:cNvPr id="53" name="Grupo 5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20595" y="1120973"/>
          <a:ext cx="1757120" cy="454798"/>
          <a:chOff x="20595" y="1117541"/>
          <a:chExt cx="1760838" cy="453081"/>
        </a:xfrm>
      </xdr:grpSpPr>
      <xdr:sp macro="" textlink="">
        <xdr:nvSpPr>
          <xdr:cNvPr id="29" name="Rectángulo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20595" y="1117541"/>
            <a:ext cx="1760838" cy="453081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31" name="Gráfico 30" descr="Gráfico de barras con relleno sólido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61785" y="1199922"/>
            <a:ext cx="339812" cy="339812"/>
          </a:xfrm>
          <a:prstGeom prst="rect">
            <a:avLst/>
          </a:prstGeom>
        </xdr:spPr>
      </xdr:pic>
      <xdr:sp macro="" textlink="">
        <xdr:nvSpPr>
          <xdr:cNvPr id="33" name="CuadroTexto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319215" y="1179325"/>
            <a:ext cx="1390135" cy="3295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800" b="1">
                <a:solidFill>
                  <a:schemeClr val="bg1"/>
                </a:solidFill>
                <a:latin typeface="Century Gothic" panose="020B0502020202020204" pitchFamily="34" charset="0"/>
              </a:rPr>
              <a:t>Rendiment</a:t>
            </a:r>
          </a:p>
        </xdr:txBody>
      </xdr:sp>
    </xdr:grpSp>
    <xdr:clientData/>
  </xdr:twoCellAnchor>
  <xdr:twoCellAnchor>
    <xdr:from>
      <xdr:col>0</xdr:col>
      <xdr:colOff>0</xdr:colOff>
      <xdr:row>4</xdr:row>
      <xdr:rowOff>65159</xdr:rowOff>
    </xdr:from>
    <xdr:to>
      <xdr:col>1</xdr:col>
      <xdr:colOff>17090</xdr:colOff>
      <xdr:row>5</xdr:row>
      <xdr:rowOff>75456</xdr:rowOff>
    </xdr:to>
    <xdr:grpSp>
      <xdr:nvGrpSpPr>
        <xdr:cNvPr id="34" name="Grupo 3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0" y="1843159"/>
          <a:ext cx="1784507" cy="454797"/>
          <a:chOff x="0" y="1841156"/>
          <a:chExt cx="1788225" cy="453081"/>
        </a:xfrm>
      </xdr:grpSpPr>
      <xdr:sp macro="" textlink="">
        <xdr:nvSpPr>
          <xdr:cNvPr id="35" name="Rectángulo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20594" y="1841156"/>
            <a:ext cx="1760838" cy="453081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37" name="Gráfico 36" descr="Lupa con relleno sólido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863812"/>
            <a:ext cx="381000" cy="381000"/>
          </a:xfrm>
          <a:prstGeom prst="rect">
            <a:avLst/>
          </a:prstGeom>
        </xdr:spPr>
      </xdr:pic>
      <xdr:sp macro="" textlink="">
        <xdr:nvSpPr>
          <xdr:cNvPr id="39" name="Rectángulo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209459" y="1889267"/>
            <a:ext cx="1578766" cy="312458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1400" b="1" cap="none" spc="0">
                <a:ln w="0"/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Recomendador</a:t>
            </a:r>
          </a:p>
        </xdr:txBody>
      </xdr:sp>
    </xdr:grpSp>
    <xdr:clientData/>
  </xdr:twoCellAnchor>
  <xdr:twoCellAnchor>
    <xdr:from>
      <xdr:col>0</xdr:col>
      <xdr:colOff>10298</xdr:colOff>
      <xdr:row>0</xdr:row>
      <xdr:rowOff>370702</xdr:rowOff>
    </xdr:from>
    <xdr:to>
      <xdr:col>1</xdr:col>
      <xdr:colOff>1</xdr:colOff>
      <xdr:row>2</xdr:row>
      <xdr:rowOff>17716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10298" y="370702"/>
          <a:ext cx="1757120" cy="536014"/>
          <a:chOff x="10298" y="375564"/>
          <a:chExt cx="1760838" cy="532582"/>
        </a:xfrm>
      </xdr:grpSpPr>
      <xdr:sp macro="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10298" y="442784"/>
            <a:ext cx="1760838" cy="453081"/>
          </a:xfrm>
          <a:prstGeom prst="rect">
            <a:avLst/>
          </a:prstGeom>
          <a:solidFill>
            <a:srgbClr val="1F4E7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45" name="Gráfico 44" descr="Monitor con relleno sólido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1189" y="473676"/>
            <a:ext cx="370703" cy="370703"/>
          </a:xfrm>
          <a:prstGeom prst="rect">
            <a:avLst/>
          </a:prstGeom>
        </xdr:spPr>
      </xdr:pic>
      <xdr:sp macro="" textlink="">
        <xdr:nvSpPr>
          <xdr:cNvPr id="49" name="Rectángulo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499063" y="375564"/>
            <a:ext cx="917174" cy="53258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2800" b="1" cap="none" spc="0">
                <a:ln w="0"/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GPU</a:t>
            </a:r>
          </a:p>
        </xdr:txBody>
      </xdr:sp>
    </xdr:grpSp>
    <xdr:clientData/>
  </xdr:twoCellAnchor>
  <xdr:twoCellAnchor>
    <xdr:from>
      <xdr:col>13</xdr:col>
      <xdr:colOff>28835</xdr:colOff>
      <xdr:row>25</xdr:row>
      <xdr:rowOff>37362</xdr:rowOff>
    </xdr:from>
    <xdr:to>
      <xdr:col>13</xdr:col>
      <xdr:colOff>1822622</xdr:colOff>
      <xdr:row>26</xdr:row>
      <xdr:rowOff>434253</xdr:rowOff>
    </xdr:to>
    <xdr:sp macro="[0]!GuardarDocument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716635" y="11195219"/>
          <a:ext cx="1793787" cy="843205"/>
        </a:xfrm>
        <a:prstGeom prst="roundRect">
          <a:avLst>
            <a:gd name="adj" fmla="val 9167"/>
          </a:avLst>
        </a:prstGeom>
        <a:solidFill>
          <a:srgbClr val="1F4E78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>
              <a:latin typeface="Century Gothic" panose="020B0502020202020204" pitchFamily="34" charset="0"/>
            </a:rPr>
            <a:t>Guardar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20595</xdr:colOff>
      <xdr:row>2</xdr:row>
      <xdr:rowOff>236835</xdr:rowOff>
    </xdr:from>
    <xdr:to>
      <xdr:col>1</xdr:col>
      <xdr:colOff>10298</xdr:colOff>
      <xdr:row>3</xdr:row>
      <xdr:rowOff>247133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20595" y="1113135"/>
          <a:ext cx="1761353" cy="448448"/>
          <a:chOff x="20595" y="1122403"/>
          <a:chExt cx="1760838" cy="453081"/>
        </a:xfrm>
      </xdr:grpSpPr>
      <xdr:sp macro="" textlink="">
        <xdr:nvSpPr>
          <xdr:cNvPr id="2" name="Rectángul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20595" y="1122403"/>
            <a:ext cx="1760838" cy="453081"/>
          </a:xfrm>
          <a:prstGeom prst="rect">
            <a:avLst/>
          </a:prstGeom>
          <a:solidFill>
            <a:schemeClr val="accent5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9" name="Gráfico 8" descr="Gráfico de barras con relleno sólido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1785" y="1204784"/>
            <a:ext cx="339812" cy="339812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319215" y="1184187"/>
            <a:ext cx="1390135" cy="3295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800" b="1">
                <a:solidFill>
                  <a:schemeClr val="bg1"/>
                </a:solidFill>
                <a:latin typeface="Century Gothic" panose="020B0502020202020204" pitchFamily="34" charset="0"/>
              </a:rPr>
              <a:t>Rendiment</a:t>
            </a:r>
          </a:p>
        </xdr:txBody>
      </xdr:sp>
    </xdr:grpSp>
    <xdr:clientData/>
  </xdr:twoCellAnchor>
  <xdr:twoCellAnchor editAs="oneCell">
    <xdr:from>
      <xdr:col>0</xdr:col>
      <xdr:colOff>51488</xdr:colOff>
      <xdr:row>4</xdr:row>
      <xdr:rowOff>195650</xdr:rowOff>
    </xdr:from>
    <xdr:to>
      <xdr:col>0</xdr:col>
      <xdr:colOff>411894</xdr:colOff>
      <xdr:row>5</xdr:row>
      <xdr:rowOff>113272</xdr:rowOff>
    </xdr:to>
    <xdr:pic>
      <xdr:nvPicPr>
        <xdr:cNvPr id="8" name="Gráfico 7" descr="Lupa con relleno sólid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1488" y="1966785"/>
          <a:ext cx="360406" cy="36040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70021</xdr:rowOff>
    </xdr:from>
    <xdr:to>
      <xdr:col>1</xdr:col>
      <xdr:colOff>17090</xdr:colOff>
      <xdr:row>5</xdr:row>
      <xdr:rowOff>80318</xdr:rowOff>
    </xdr:to>
    <xdr:grpSp>
      <xdr:nvGrpSpPr>
        <xdr:cNvPr id="21" name="Grupo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0" y="1822621"/>
          <a:ext cx="1788740" cy="448447"/>
          <a:chOff x="0" y="1841156"/>
          <a:chExt cx="1788225" cy="453081"/>
        </a:xfrm>
      </xdr:grpSpPr>
      <xdr:sp macro="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20594" y="1841156"/>
            <a:ext cx="1760838" cy="453081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16" name="Gráfico 15" descr="Lupa con relleno sólido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1863812"/>
            <a:ext cx="381000" cy="381000"/>
          </a:xfrm>
          <a:prstGeom prst="rect">
            <a:avLst/>
          </a:prstGeom>
        </xdr:spPr>
      </xdr:pic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209459" y="1889267"/>
            <a:ext cx="1578766" cy="312458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1400" b="1" cap="none" spc="0">
                <a:ln w="0"/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Recomendador</a:t>
            </a:r>
          </a:p>
        </xdr:txBody>
      </xdr:sp>
    </xdr:grpSp>
    <xdr:clientData/>
  </xdr:twoCellAnchor>
  <xdr:twoCellAnchor>
    <xdr:from>
      <xdr:col>0</xdr:col>
      <xdr:colOff>10298</xdr:colOff>
      <xdr:row>0</xdr:row>
      <xdr:rowOff>375564</xdr:rowOff>
    </xdr:from>
    <xdr:to>
      <xdr:col>1</xdr:col>
      <xdr:colOff>1</xdr:colOff>
      <xdr:row>2</xdr:row>
      <xdr:rowOff>22578</xdr:rowOff>
    </xdr:to>
    <xdr:grpSp>
      <xdr:nvGrpSpPr>
        <xdr:cNvPr id="23" name="Grupo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10298" y="375564"/>
          <a:ext cx="1761353" cy="523314"/>
          <a:chOff x="10298" y="375564"/>
          <a:chExt cx="1760838" cy="532582"/>
        </a:xfrm>
      </xdr:grpSpPr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0298" y="442784"/>
            <a:ext cx="1760838" cy="453081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19" name="Gráfico 18" descr="Monitor con relleno sólido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1189" y="473676"/>
            <a:ext cx="370703" cy="370703"/>
          </a:xfrm>
          <a:prstGeom prst="rect">
            <a:avLst/>
          </a:prstGeom>
        </xdr:spPr>
      </xdr:pic>
      <xdr:sp macro="" textlink="">
        <xdr:nvSpPr>
          <xdr:cNvPr id="20" name="Rectángulo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499063" y="375564"/>
            <a:ext cx="917174" cy="53258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2800" b="1" cap="none" spc="0">
                <a:ln w="0"/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GPU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20595</xdr:colOff>
      <xdr:row>2</xdr:row>
      <xdr:rowOff>236835</xdr:rowOff>
    </xdr:from>
    <xdr:to>
      <xdr:col>1</xdr:col>
      <xdr:colOff>10298</xdr:colOff>
      <xdr:row>3</xdr:row>
      <xdr:rowOff>247133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0595" y="1122403"/>
          <a:ext cx="1760838" cy="453081"/>
          <a:chOff x="20595" y="1122403"/>
          <a:chExt cx="1760838" cy="453081"/>
        </a:xfrm>
      </xdr:grpSpPr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0595" y="1122403"/>
            <a:ext cx="1760838" cy="453081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4" name="Gráfico 3" descr="Gráfico de barras con relleno sólido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1785" y="1204784"/>
            <a:ext cx="339812" cy="339812"/>
          </a:xfrm>
          <a:prstGeom prst="rect">
            <a:avLst/>
          </a:prstGeom>
        </xdr:spPr>
      </xdr:pic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319215" y="1184187"/>
            <a:ext cx="1390135" cy="3295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ES" sz="1800" b="1">
                <a:solidFill>
                  <a:schemeClr val="bg1"/>
                </a:solidFill>
                <a:latin typeface="Century Gothic" panose="020B0502020202020204" pitchFamily="34" charset="0"/>
              </a:rPr>
              <a:t>Rendiment</a:t>
            </a:r>
          </a:p>
        </xdr:txBody>
      </xdr:sp>
    </xdr:grpSp>
    <xdr:clientData/>
  </xdr:twoCellAnchor>
  <xdr:twoCellAnchor editAs="absolute">
    <xdr:from>
      <xdr:col>0</xdr:col>
      <xdr:colOff>0</xdr:colOff>
      <xdr:row>4</xdr:row>
      <xdr:rowOff>70021</xdr:rowOff>
    </xdr:from>
    <xdr:to>
      <xdr:col>1</xdr:col>
      <xdr:colOff>17090</xdr:colOff>
      <xdr:row>5</xdr:row>
      <xdr:rowOff>80318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0" y="1841156"/>
          <a:ext cx="1788225" cy="453081"/>
          <a:chOff x="0" y="1841156"/>
          <a:chExt cx="1788225" cy="453081"/>
        </a:xfrm>
      </xdr:grpSpPr>
      <xdr:sp macro="" textlink="">
        <xdr:nvSpPr>
          <xdr:cNvPr id="8" name="Rectángulo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20594" y="1841156"/>
            <a:ext cx="1760838" cy="453081"/>
          </a:xfrm>
          <a:prstGeom prst="rect">
            <a:avLst/>
          </a:prstGeom>
          <a:solidFill>
            <a:srgbClr val="1F4E7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9" name="Gráfico 8" descr="Lupa con relleno sólido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0" y="1863812"/>
            <a:ext cx="381000" cy="381000"/>
          </a:xfrm>
          <a:prstGeom prst="rect">
            <a:avLst/>
          </a:prstGeom>
        </xdr:spPr>
      </xdr:pic>
      <xdr:sp macro="" textlink="">
        <xdr:nvSpPr>
          <xdr:cNvPr id="10" name="Rectángulo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209459" y="1889267"/>
            <a:ext cx="1578766" cy="312458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1400" b="1" cap="none" spc="0">
                <a:ln w="0"/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Recomendador</a:t>
            </a:r>
          </a:p>
        </xdr:txBody>
      </xdr:sp>
    </xdr:grpSp>
    <xdr:clientData/>
  </xdr:twoCellAnchor>
  <xdr:twoCellAnchor editAs="absolute">
    <xdr:from>
      <xdr:col>0</xdr:col>
      <xdr:colOff>10298</xdr:colOff>
      <xdr:row>0</xdr:row>
      <xdr:rowOff>375564</xdr:rowOff>
    </xdr:from>
    <xdr:to>
      <xdr:col>1</xdr:col>
      <xdr:colOff>1</xdr:colOff>
      <xdr:row>2</xdr:row>
      <xdr:rowOff>22578</xdr:rowOff>
    </xdr:to>
    <xdr:grpSp>
      <xdr:nvGrpSpPr>
        <xdr:cNvPr id="11" name="Grup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10298" y="375564"/>
          <a:ext cx="1760838" cy="532582"/>
          <a:chOff x="10298" y="375564"/>
          <a:chExt cx="1760838" cy="532582"/>
        </a:xfrm>
      </xdr:grpSpPr>
      <xdr:sp macro="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10298" y="442784"/>
            <a:ext cx="1760838" cy="453081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13" name="Gráfico 12" descr="Monitor con relleno sólido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1189" y="473676"/>
            <a:ext cx="370703" cy="370703"/>
          </a:xfrm>
          <a:prstGeom prst="rect">
            <a:avLst/>
          </a:prstGeom>
        </xdr:spPr>
      </xdr:pic>
      <xdr:sp macro="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99063" y="375564"/>
            <a:ext cx="917174" cy="53258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2800" b="1" cap="none" spc="0">
                <a:ln w="0"/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GPU</a:t>
            </a:r>
          </a:p>
        </xdr:txBody>
      </xdr:sp>
    </xdr:grpSp>
    <xdr:clientData/>
  </xdr:twoCellAnchor>
  <xdr:twoCellAnchor>
    <xdr:from>
      <xdr:col>2</xdr:col>
      <xdr:colOff>1</xdr:colOff>
      <xdr:row>49</xdr:row>
      <xdr:rowOff>6262</xdr:rowOff>
    </xdr:from>
    <xdr:to>
      <xdr:col>3</xdr:col>
      <xdr:colOff>1409177</xdr:colOff>
      <xdr:row>54</xdr:row>
      <xdr:rowOff>417534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10439</xdr:colOff>
      <xdr:row>49</xdr:row>
      <xdr:rowOff>10439</xdr:rowOff>
    </xdr:from>
    <xdr:to>
      <xdr:col>5</xdr:col>
      <xdr:colOff>1388301</xdr:colOff>
      <xdr:row>54</xdr:row>
      <xdr:rowOff>396658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0</xdr:colOff>
      <xdr:row>49</xdr:row>
      <xdr:rowOff>20878</xdr:rowOff>
    </xdr:from>
    <xdr:to>
      <xdr:col>7</xdr:col>
      <xdr:colOff>1398740</xdr:colOff>
      <xdr:row>54</xdr:row>
      <xdr:rowOff>396657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10438</xdr:colOff>
      <xdr:row>49</xdr:row>
      <xdr:rowOff>31315</xdr:rowOff>
    </xdr:from>
    <xdr:to>
      <xdr:col>9</xdr:col>
      <xdr:colOff>1409178</xdr:colOff>
      <xdr:row>54</xdr:row>
      <xdr:rowOff>417534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0</xdr:colOff>
      <xdr:row>49</xdr:row>
      <xdr:rowOff>20877</xdr:rowOff>
    </xdr:from>
    <xdr:to>
      <xdr:col>11</xdr:col>
      <xdr:colOff>1388302</xdr:colOff>
      <xdr:row>54</xdr:row>
      <xdr:rowOff>396657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8747</xdr:colOff>
      <xdr:row>49</xdr:row>
      <xdr:rowOff>6403</xdr:rowOff>
    </xdr:from>
    <xdr:to>
      <xdr:col>13</xdr:col>
      <xdr:colOff>1400432</xdr:colOff>
      <xdr:row>54</xdr:row>
      <xdr:rowOff>407236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30891</xdr:colOff>
          <xdr:row>1</xdr:row>
          <xdr:rowOff>12151</xdr:rowOff>
        </xdr:from>
        <xdr:to>
          <xdr:col>11</xdr:col>
          <xdr:colOff>1368305</xdr:colOff>
          <xdr:row>1</xdr:row>
          <xdr:rowOff>393151</xdr:rowOff>
        </xdr:to>
        <xdr:sp macro="" textlink="">
          <xdr:nvSpPr>
            <xdr:cNvPr id="3085" name="Text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ama" xr10:uid="{DC52C90D-CEE0-4AC0-A6B9-A6275EAFF083}" sourceName="Gama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rquitectura" xr10:uid="{22561E35-29E4-49EA-9BB9-6EBF6DD896E4}" sourceName="Arquitectura">
  <extLst>
    <x:ext xmlns:x15="http://schemas.microsoft.com/office/spreadsheetml/2010/11/main" uri="{2F2917AC-EB37-4324-AD4E-5DD8C200BD13}">
      <x15:tableSlicerCache tableId="2" column="5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solució_Estable" xr10:uid="{CC520DAA-50FB-44E1-9AD3-A997DB130DBF}" sourceName="Resolució Estable ">
  <extLst>
    <x:ext xmlns:x15="http://schemas.microsoft.com/office/spreadsheetml/2010/11/main" uri="{2F2917AC-EB37-4324-AD4E-5DD8C200BD13}">
      <x15:tableSlicerCache tableId="2" column="9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moria_VRAM" xr10:uid="{20670D05-C018-4A2E-B847-49CB7BBA4C88}" sourceName="Memoria VRAM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y_Tracing" xr10:uid="{84DC758A-59D9-4AA0-B046-54E5BD3EF7B1}" sourceName="Ray Tracing">
  <extLst>
    <x:ext xmlns:x15="http://schemas.microsoft.com/office/spreadsheetml/2010/11/main" uri="{2F2917AC-EB37-4324-AD4E-5DD8C200BD13}">
      <x15:tableSlicerCache tableId="2" column="7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ama" xr10:uid="{3085F1A1-EB8E-470C-A9BD-385B90CB274C}" cache="SegmentaciónDeDatos_Gama" caption="Gama" style="Estilo de segmentación de datos 1" rowHeight="252000"/>
  <slicer name="Arquitectura" xr10:uid="{58B9FB3B-2E40-4377-85FD-5BBF16D3400A}" cache="SegmentaciónDeDatos_Arquitectura" caption="Arquitectura" style="Estilo de segmentación de datos 1" rowHeight="288000"/>
  <slicer name="Resolució Estable" xr10:uid="{7150E25C-3612-4B35-AB98-F1E985F9350E}" cache="SegmentaciónDeDatos_Resolució_Estable" caption="Resolució Estable " style="Estilo de segmentación de datos 1" rowHeight="252000"/>
  <slicer name="Memoria VRAM" xr10:uid="{618ACDC7-9871-4A61-A64D-AF0111CEBE80}" cache="SegmentaciónDeDatos_Memoria_VRAM" caption="Memoria VRAM" style="Estilo de segmentación de datos 1" rowHeight="288000"/>
  <slicer name="Ray Tracing" xr10:uid="{6468974D-1F5E-4F7A-B9B8-8F453D422063}" cache="SegmentaciónDeDatos_Ray_Tracing" caption="Ray Tracing" style="Estilo de segmentación de datos 1" rowHeight="41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41E009-55CE-413F-8ABA-38D2B6E5DE97}" name="GPU" displayName="GPU" ref="C3:L30" totalsRowShown="0" headerRowDxfId="198" dataDxfId="196" headerRowBorderDxfId="197" tableBorderDxfId="195" totalsRowBorderDxfId="194">
  <autoFilter ref="C3:L30" xr:uid="{BE41E009-55CE-413F-8ABA-38D2B6E5DE97}"/>
  <sortState xmlns:xlrd2="http://schemas.microsoft.com/office/spreadsheetml/2017/richdata2" ref="C4:L30">
    <sortCondition ref="C3:C30"/>
  </sortState>
  <tableColumns count="10">
    <tableColumn id="1" xr3:uid="{26E1A9BE-8A37-49E9-8C9E-5567CE2A2763}" name="GPU" dataDxfId="193"/>
    <tableColumn id="2" xr3:uid="{38A64CA9-5DC2-47B7-8873-FFCFF0162469}" name="Gama" dataDxfId="192"/>
    <tableColumn id="3" xr3:uid="{08805563-5065-420B-BCC2-94A61E0A05A5}" name="Memoria VRAM" dataDxfId="191"/>
    <tableColumn id="5" xr3:uid="{83BF12B8-1A45-4499-BC67-09CDA96A621D}" name="Arquitectura" dataDxfId="190"/>
    <tableColumn id="7" xr3:uid="{E80DE057-96C0-4A15-AB06-F4149CF7F40A}" name="Ray Tracing" dataDxfId="189"/>
    <tableColumn id="10" xr3:uid="{C2FF9A47-6261-46B9-8170-7A7FCB8387EB}" name="DLSS" dataDxfId="188"/>
    <tableColumn id="8" xr3:uid="{A2CB1150-745B-4299-906D-910E0D5F14F8}" name="Frecuencia" dataDxfId="187"/>
    <tableColumn id="9" xr3:uid="{D029EFB9-0C8D-4B05-857F-BC0AB262E554}" name="Resolució Estable " dataDxfId="186"/>
    <tableColumn id="11" xr3:uid="{51FDEE8B-14F8-49BD-BA83-CAAC2A016016}" name="Cosnum" dataDxfId="185"/>
    <tableColumn id="12" xr3:uid="{69ACFE9C-AE11-4E7A-92E7-5A2FACC43EDD}" name="Preu" dataDxfId="184"/>
  </tableColumns>
  <tableStyleInfo name="TablaGPU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057D1B5-1066-46C0-A89F-A814B10C3F0E}" name="Rendiment" displayName="Rendiment" ref="C3:K30" totalsRowShown="0" headerRowDxfId="183" dataDxfId="181" headerRowBorderDxfId="182" tableBorderDxfId="180" totalsRowBorderDxfId="179">
  <autoFilter ref="C3:K30" xr:uid="{A057D1B5-1066-46C0-A89F-A814B10C3F0E}"/>
  <tableColumns count="9">
    <tableColumn id="1" xr3:uid="{3C1FEFDD-1648-4C03-9FA5-72ECD8225F50}" name="Model" dataDxfId="178">
      <calculatedColumnFormula>GPU[[#This Row],[GPU]]</calculatedColumnFormula>
    </tableColumn>
    <tableColumn id="2" xr3:uid="{FAA55942-2B71-4A12-8B6B-9E8C9CF8EFB5}" name="GTA V " dataDxfId="177"/>
    <tableColumn id="3" xr3:uid="{170574DB-A242-4CD3-8AB7-9B4CDF9BBA5D}" name="Forza Horizon 5" dataDxfId="176"/>
    <tableColumn id="5" xr3:uid="{9BCD5417-9F35-405E-8CF1-110A113552B5}" name="Doom Eternal" dataDxfId="175"/>
    <tableColumn id="7" xr3:uid="{60E3C82B-178C-43D9-8F97-F4FE095045A9}" name="Rendiment" dataDxfId="2">
      <calculatedColumnFormula>INT(AVERAGE(Rendiment[[#This Row],[GTA V ]:[Doom Eternal]]))</calculatedColumnFormula>
    </tableColumn>
    <tableColumn id="8" xr3:uid="{07CE935A-8ED1-453D-8F9C-65A6BB5F65A8}" name="Consum" dataDxfId="174">
      <calculatedColumnFormula>GPU[[#This Row],[Cosnum]]</calculatedColumnFormula>
    </tableColumn>
    <tableColumn id="9" xr3:uid="{858EFF69-32A5-461F-9BF7-45730F2480B1}" name="€/FPS" dataDxfId="173">
      <calculatedColumnFormula>Rendiment[[#This Row],[Preu]]/Rendiment[[#This Row],[Rendiment]]</calculatedColumnFormula>
    </tableColumn>
    <tableColumn id="10" xr3:uid="{E5AB6B39-96CC-408D-A417-3612E24957DF}" name="W/FPS" dataDxfId="1">
      <calculatedColumnFormula>Rendiment[[#This Row],[Consum]]/Rendiment[[#This Row],[Rendiment]]</calculatedColumnFormula>
    </tableColumn>
    <tableColumn id="12" xr3:uid="{F4003BE9-2CEC-498E-8ED3-BD6651582DDE}" name="Preu" dataDxfId="0">
      <calculatedColumnFormula>VLOOKUP(C4,GPU!$C$4:$L$30,10,FALSE)</calculatedColumnFormula>
    </tableColumn>
  </tableColumns>
  <tableStyleInfo name="TablaGPU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B02934A-627D-4830-AAFA-7A8285FF574A}" name="Tabla8" displayName="Tabla8" ref="C33:L36" totalsRowShown="0" headerRowDxfId="172" headerRowBorderDxfId="171" tableBorderDxfId="170">
  <autoFilter ref="C33:L36" xr:uid="{FB02934A-627D-4830-AAFA-7A8285FF574A}"/>
  <tableColumns count="10">
    <tableColumn id="1" xr3:uid="{47934343-53C8-41E7-A1FA-2E23288FD2CE}" name="Model"/>
    <tableColumn id="2" xr3:uid="{4D9E613C-87D3-4547-A519-1E7A01CAD63E}" name="VRAM">
      <calculatedColumnFormula>VLOOKUP($C$35,Recomendador!$C$4:$L$30,2,FALSE)</calculatedColumnFormula>
    </tableColumn>
    <tableColumn id="3" xr3:uid="{484517AF-5766-404A-98A9-D1BDAEAE8A7D}" name="DLSS">
      <calculatedColumnFormula>VLOOKUP($C$35,Recomendador!$C$4:$L$30,3,FALSE)</calculatedColumnFormula>
    </tableColumn>
    <tableColumn id="4" xr3:uid="{1EA47C7C-DE38-469F-B1F6-E92A020028A1}" name="RTX">
      <calculatedColumnFormula>VLOOKUP($C$35,Recomendador!$C$4:$L$30,4,FALSE)</calculatedColumnFormula>
    </tableColumn>
    <tableColumn id="5" xr3:uid="{5406A8C9-3B12-402E-8DE6-3B6C0DB2E555}" name="Rendiment">
      <calculatedColumnFormula>VLOOKUP($C$35,Recomendador!$C$4:$L$30,5,FALSE)</calculatedColumnFormula>
    </tableColumn>
    <tableColumn id="6" xr3:uid="{AA79EB18-21FF-4765-B1B6-1B121D564C3A}" name="€/FPS">
      <calculatedColumnFormula>VLOOKUP($C$35,Recomendador!$C$4:$L$30,6,FALSE)</calculatedColumnFormula>
    </tableColumn>
    <tableColumn id="7" xr3:uid="{E72EE717-1C05-45FE-B966-E04CB85364C0}" name="W/FPS">
      <calculatedColumnFormula>VLOOKUP($C$35,Recomendador!$C$4:$L$30,7,FALSE)</calculatedColumnFormula>
    </tableColumn>
    <tableColumn id="8" xr3:uid="{23F64C0A-D96D-4A7A-8C9D-B7B18D8FE1A8}" name="Punt. Final">
      <calculatedColumnFormula>VLOOKUP($C$35,Recomendador!$C$4:$L$30,8,FALSE)</calculatedColumnFormula>
    </tableColumn>
    <tableColumn id="9" xr3:uid="{824E54AA-5976-48CE-AEAA-E4290FBFF7BC}" name="Consum">
      <calculatedColumnFormula>VLOOKUP($C$35,Recomendador!$C$4:$L$30,9,FALSE)</calculatedColumnFormula>
    </tableColumn>
    <tableColumn id="10" xr3:uid="{F45F267E-B2B3-4FCE-A9A2-55F44C6FC3C8}" name="Preu">
      <calculatedColumnFormula>VLOOKUP($C$35,Recomendador!$C$4:$L$30,10,FALSE)</calculatedColumnFormula>
    </tableColumn>
  </tableColumns>
  <tableStyleInfo name="TablaGPU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67ABB2-79F8-4364-9D3A-8BCA20F39870}" name="Tabla4" displayName="Tabla4" ref="C3:L30" totalsRowShown="0" headerRowDxfId="157" dataDxfId="158" tableBorderDxfId="169">
  <autoFilter ref="C3:L30" xr:uid="{1D67ABB2-79F8-4364-9D3A-8BCA20F39870}">
    <filterColumn colId="0">
      <customFilters>
        <customFilter val="**"/>
      </customFilters>
    </filterColumn>
  </autoFilter>
  <tableColumns count="10">
    <tableColumn id="1" xr3:uid="{C7664DB8-1026-4341-9EA3-E9B1FB03A9EE}" name="GPU" dataDxfId="168"/>
    <tableColumn id="2" xr3:uid="{A2E85AFF-C039-44E8-BF19-B4EDE6599EB8}" name="Memoria VRAM" dataDxfId="167">
      <calculatedColumnFormula>VLOOKUP(Recomendador!$C4,GPU[],3,FALSE)</calculatedColumnFormula>
    </tableColumn>
    <tableColumn id="3" xr3:uid="{35A7DA7A-2C84-4EE5-8347-2C0FDA9C7F35}" name="DLSS" dataDxfId="166">
      <calculatedColumnFormula>VLOOKUP(Recomendador!$C4,GPU[],6,FALSE)</calculatedColumnFormula>
    </tableColumn>
    <tableColumn id="4" xr3:uid="{CB5611AB-0AF7-4268-8581-48F516CB44FB}" name="Ray Tracing" dataDxfId="165">
      <calculatedColumnFormula>VLOOKUP(Recomendador!$C4,GPU[],5,FALSE)</calculatedColumnFormula>
    </tableColumn>
    <tableColumn id="5" xr3:uid="{C36729AD-3021-4007-9108-CE888DC8FECF}" name="Rendiment" dataDxfId="164">
      <calculatedColumnFormula>VLOOKUP(Recomendador!$C4,Rendiment[],5,FALSE)</calculatedColumnFormula>
    </tableColumn>
    <tableColumn id="6" xr3:uid="{6BCD170A-F431-46E6-A9F1-E71AF220FDA6}" name="€/FPS" dataDxfId="163">
      <calculatedColumnFormula>Recomendador!$L4/Recomendador!$G4</calculatedColumnFormula>
    </tableColumn>
    <tableColumn id="7" xr3:uid="{53946BBB-E11C-4DF2-8091-A1F8B537D95B}" name="W/FPS" dataDxfId="162">
      <calculatedColumnFormula>Recomendador!$K4/Recomendador!$G4</calculatedColumnFormula>
    </tableColumn>
    <tableColumn id="8" xr3:uid="{8FD43122-1EB3-417F-BB11-007BF9FC7315}" name="Puntuació Final" dataDxfId="161">
      <calculatedColumnFormula>10*AVERAGE(Recomendador!$H4:$I4)</calculatedColumnFormula>
    </tableColumn>
    <tableColumn id="9" xr3:uid="{A7325B2B-7806-4561-9D7A-45A4B981DBF2}" name="Cosnum" dataDxfId="160">
      <calculatedColumnFormula>VLOOKUP(Recomendador!$C4,Rendiment[],6,FALSE)</calculatedColumnFormula>
    </tableColumn>
    <tableColumn id="10" xr3:uid="{E0E674B3-38E6-47A6-8022-96350F31819A}" name="Preu" dataDxfId="159">
      <calculatedColumnFormula>VLOOKUP(Recomendador!$C4,GPU[],10,FALSE)</calculatedColumnFormula>
    </tableColumn>
  </tableColumns>
  <tableStyleInfo name="TablaGPU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B1E94AB-9F73-4ED5-AFE9-951299686019}" name="GPU_Nvidia5210" displayName="GPU_Nvidia5210" ref="N3:W9" totalsRowShown="0" headerRowDxfId="156" dataDxfId="155" headerRowBorderDxfId="153" tableBorderDxfId="154" totalsRowBorderDxfId="152">
  <autoFilter ref="N3:W9" xr:uid="{5B1E94AB-9F73-4ED5-AFE9-951299686019}"/>
  <sortState xmlns:xlrd2="http://schemas.microsoft.com/office/spreadsheetml/2017/richdata2" ref="N4:W9">
    <sortCondition ref="N66:N71"/>
  </sortState>
  <tableColumns count="10">
    <tableColumn id="1" xr3:uid="{B0A77F96-08D1-43C5-9D8B-2345B90CB701}" name="GPU" dataDxfId="151"/>
    <tableColumn id="10" xr3:uid="{0D2B15D2-AF53-4AF5-85EA-41BC61E5E1B6}" name="€/FPS" dataDxfId="150">
      <calculatedColumnFormula>GPU_Nvidia5210[[#This Row],[Preu]]/GPU_Nvidia5210[[#This Row],[Rendiment]]</calculatedColumnFormula>
    </tableColumn>
    <tableColumn id="8" xr3:uid="{A84F29CC-65F7-481A-8F8E-BB4C7847CCB7}" name="W/FPS" dataDxfId="149">
      <calculatedColumnFormula>GPU_Nvidia5210[[#This Row],[Cosnum]]/GPU_Nvidia5210[[#This Row],[Rendiment]]</calculatedColumnFormula>
    </tableColumn>
    <tableColumn id="3" xr3:uid="{E223EB55-2735-405E-BC32-9CC549747121}" name="Memoria VRAM" dataDxfId="148">
      <calculatedColumnFormula>VLOOKUP(GPU_Nvidia5210[[#This Row],[GPU]],Recomendador!$C$4:$L$30,2,FALSE)</calculatedColumnFormula>
    </tableColumn>
    <tableColumn id="2" xr3:uid="{CAD7E613-CF36-4CD4-BC81-06682EF76BA6}" name="DLSS" dataDxfId="147">
      <calculatedColumnFormula>VLOOKUP(GPU_Nvidia5210[[#This Row],[GPU]],Recomendador!$C$4:$L$30,3,FALSE)</calculatedColumnFormula>
    </tableColumn>
    <tableColumn id="7" xr3:uid="{E9BD12DF-4BAB-4207-A2B0-A67FB95832C5}" name="Ray Tracing" dataDxfId="146">
      <calculatedColumnFormula>VLOOKUP(GPU_Nvidia5210[[#This Row],[GPU]],Recomendador!$C$4:$L$30,4,FALSE)</calculatedColumnFormula>
    </tableColumn>
    <tableColumn id="13" xr3:uid="{DCDB55BB-4FE6-42BF-823C-0908E310D1DA}" name="Rendiment" dataDxfId="145">
      <calculatedColumnFormula>VLOOKUP(GPU_Nvidia5210[[#This Row],[GPU]],Recomendador!$C$4:$L$30,5,FALSE)</calculatedColumnFormula>
    </tableColumn>
    <tableColumn id="11" xr3:uid="{CEAC793A-1BA3-4121-955D-CC114E4F03C9}" name="Cosnum" dataDxfId="144">
      <calculatedColumnFormula>VLOOKUP(GPU_Nvidia5210[[#This Row],[GPU]],Recomendador!$C$4:$L$30,9,FALSE)</calculatedColumnFormula>
    </tableColumn>
    <tableColumn id="15" xr3:uid="{AB01BDF5-C610-4B90-9288-99D7A70B5945}" name="Puntuació Final" dataDxfId="143">
      <calculatedColumnFormula>INT(GPU_Nvidia5210[[#This Row],[W/FPS]]+GPU_Nvidia5210[[#This Row],[€/FPS]])/2*10</calculatedColumnFormula>
    </tableColumn>
    <tableColumn id="12" xr3:uid="{72588151-AA84-4E76-B597-7A3ED9C89061}" name="Preu" dataDxfId="142">
      <calculatedColumnFormula>VLOOKUP(GPU_Nvidia5210[[#This Row],[GPU]],Recomendador!$C$4:$L$30,10,FALSE)</calculatedColumnFormula>
    </tableColumn>
  </tableColumns>
  <tableStyleInfo name="TablaGPU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015F3F-027E-4BEF-A738-D725E07329C0}" name="GPU_Nvidia5611" displayName="GPU_Nvidia5611" ref="N12:W18" totalsRowShown="0" headerRowDxfId="141" dataDxfId="140" headerRowBorderDxfId="138" tableBorderDxfId="139" totalsRowBorderDxfId="137">
  <autoFilter ref="N12:W18" xr:uid="{CE015F3F-027E-4BEF-A738-D725E07329C0}"/>
  <sortState xmlns:xlrd2="http://schemas.microsoft.com/office/spreadsheetml/2017/richdata2" ref="N13:W18">
    <sortCondition ref="N66:N80"/>
  </sortState>
  <tableColumns count="10">
    <tableColumn id="1" xr3:uid="{85A4F87E-C73F-4F50-A741-EAEEAF0F6863}" name="GPU" dataDxfId="136"/>
    <tableColumn id="10" xr3:uid="{7C4D43F0-D3BC-415A-93FC-DD19F57F55D4}" name="€/FPS" dataDxfId="135">
      <calculatedColumnFormula>GPU_Nvidia5611[[#This Row],[Preu]]/GPU_Nvidia5611[[#This Row],[Rendiment]]</calculatedColumnFormula>
    </tableColumn>
    <tableColumn id="8" xr3:uid="{2A7E4AE2-3FC7-4430-9A79-1B931738F606}" name="W/FPS" dataDxfId="134">
      <calculatedColumnFormula>GPU_Nvidia5611[[#This Row],[Cosnum]]/GPU_Nvidia5611[[#This Row],[Rendiment]]</calculatedColumnFormula>
    </tableColumn>
    <tableColumn id="3" xr3:uid="{B276AFA9-E0E5-4BF4-B9A1-4E9DF0FFB52B}" name="Memoria VRAM" dataDxfId="133">
      <calculatedColumnFormula>VLOOKUP(GPU_Nvidia5611[[#This Row],[GPU]],Recomendador!$C$4:$L$30,2,FALSE)</calculatedColumnFormula>
    </tableColumn>
    <tableColumn id="2" xr3:uid="{BC00A9E7-404A-4D75-920F-178832E6AE94}" name="DLSS" dataDxfId="132">
      <calculatedColumnFormula>VLOOKUP(GPU_Nvidia5611[[#This Row],[GPU]],Recomendador!$C$4:$L$30,3,FALSE)</calculatedColumnFormula>
    </tableColumn>
    <tableColumn id="7" xr3:uid="{5E5B2B07-E78A-4C48-AF56-933762CDB7B8}" name="Ray Tracing" dataDxfId="131">
      <calculatedColumnFormula>VLOOKUP(GPU_Nvidia5611[[#This Row],[GPU]],Recomendador!$C$4:$L$30,4,FALSE)</calculatedColumnFormula>
    </tableColumn>
    <tableColumn id="13" xr3:uid="{191F3A9B-F220-473B-96CA-700BDA212B55}" name="Rendiment" dataDxfId="130">
      <calculatedColumnFormula>VLOOKUP(GPU_Nvidia5611[[#This Row],[GPU]],Recomendador!$C$4:$L$30,5,FALSE)</calculatedColumnFormula>
    </tableColumn>
    <tableColumn id="11" xr3:uid="{3489E92F-A4DA-4ABA-AA7E-72C214A9250F}" name="Cosnum" dataDxfId="129">
      <calculatedColumnFormula>VLOOKUP(GPU_Nvidia5611[[#This Row],[GPU]],Recomendador!$C$4:$L$30,9,FALSE)</calculatedColumnFormula>
    </tableColumn>
    <tableColumn id="14" xr3:uid="{58B7EC39-1BEA-4A52-AEE9-83E6E1A7E63D}" name="Puntuació Final" dataDxfId="128">
      <calculatedColumnFormula>(GPU_Nvidia5611[[#This Row],[W/FPS]]+GPU_Nvidia5611[[#This Row],[€/FPS]])/2*10</calculatedColumnFormula>
    </tableColumn>
    <tableColumn id="12" xr3:uid="{5E8F077A-5CA7-4B7E-9DB1-CE4B45C2A513}" name="Preu" dataDxfId="127">
      <calculatedColumnFormula>VLOOKUP(GPU_Nvidia5611[[#This Row],[GPU]],Recomendador!$C$4:$L$30,10,FALSE)</calculatedColumnFormula>
    </tableColumn>
  </tableColumns>
  <tableStyleInfo name="TablaGPU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B72D17A-7A79-4789-B1DD-FEADBCDA6C13}" name="GPU_Nvidia5712" displayName="GPU_Nvidia5712" ref="N21:W27" totalsRowShown="0" headerRowDxfId="126" dataDxfId="125" headerRowBorderDxfId="123" tableBorderDxfId="124" totalsRowBorderDxfId="122">
  <autoFilter ref="N21:W27" xr:uid="{CB72D17A-7A79-4789-B1DD-FEADBCDA6C13}"/>
  <sortState xmlns:xlrd2="http://schemas.microsoft.com/office/spreadsheetml/2017/richdata2" ref="N22:W27">
    <sortCondition ref="N66:N85"/>
  </sortState>
  <tableColumns count="10">
    <tableColumn id="1" xr3:uid="{83E44EA6-E616-4E51-9320-1E70D70A5565}" name="GPU" dataDxfId="121"/>
    <tableColumn id="10" xr3:uid="{8BA615C9-35C4-4F19-A151-FD9AE48BC129}" name="€/FPS" dataDxfId="120">
      <calculatedColumnFormula>GPU_Nvidia5712[[#This Row],[Preu]]/GPU_Nvidia5712[[#This Row],[Rendiment]]</calculatedColumnFormula>
    </tableColumn>
    <tableColumn id="8" xr3:uid="{E5295E8D-3B5A-428B-AEEE-FB052918C4B1}" name="W/FPS" dataDxfId="119">
      <calculatedColumnFormula>GPU_Nvidia5712[[#This Row],[Cosnum]]/GPU_Nvidia5712[[#This Row],[Rendiment]]</calculatedColumnFormula>
    </tableColumn>
    <tableColumn id="3" xr3:uid="{B1B3F67E-87B6-4048-A781-09A2F1F4961C}" name="Memoria VRAM" dataDxfId="118">
      <calculatedColumnFormula>VLOOKUP(GPU_Nvidia5712[[#This Row],[GPU]],Recomendador!$C$4:$L$30,2,FALSE)</calculatedColumnFormula>
    </tableColumn>
    <tableColumn id="2" xr3:uid="{4F2721B1-DA47-4C7A-8169-87C5AF9E6F12}" name="DLSS" dataDxfId="117">
      <calculatedColumnFormula>VLOOKUP(GPU_Nvidia5712[[#This Row],[GPU]],Recomendador!$C$4:$L$30,3,FALSE)</calculatedColumnFormula>
    </tableColumn>
    <tableColumn id="7" xr3:uid="{6F80381C-EEB6-4623-8B6F-35F5D237C246}" name="Ray Tracing" dataDxfId="116">
      <calculatedColumnFormula>VLOOKUP(GPU_Nvidia5712[[#This Row],[GPU]],Recomendador!$C$4:$L$30,4,FALSE)</calculatedColumnFormula>
    </tableColumn>
    <tableColumn id="13" xr3:uid="{3B3CAD30-4F75-4777-80DF-593E7EE6045D}" name="Rendiment" dataDxfId="115">
      <calculatedColumnFormula>VLOOKUP(GPU_Nvidia5712[[#This Row],[GPU]],Recomendador!$C$4:$L$30,5,FALSE)</calculatedColumnFormula>
    </tableColumn>
    <tableColumn id="11" xr3:uid="{422F9B36-20D6-42D5-91B8-A6C78A9BD348}" name="Cosnum" dataDxfId="114">
      <calculatedColumnFormula>VLOOKUP(GPU_Nvidia5712[[#This Row],[GPU]],Recomendador!$C$4:$L$30,9,FALSE)</calculatedColumnFormula>
    </tableColumn>
    <tableColumn id="14" xr3:uid="{8B8E8685-BD43-4FAF-95DA-890EEECA6742}" name="Puntuació Final" dataDxfId="113">
      <calculatedColumnFormula>INT(GPU_Nvidia5712[[#This Row],[€/FPS]]+GPU_Nvidia5712[[#This Row],[W/FPS]])/2*10</calculatedColumnFormula>
    </tableColumn>
    <tableColumn id="12" xr3:uid="{3F6528AB-2009-44EA-8E42-BD649C1877FE}" name="Preu" dataDxfId="112">
      <calculatedColumnFormula>VLOOKUP(GPU_Nvidia5712[[#This Row],[GPU]],Recomendador!$C$4:$L$30,10,FALSE)</calculatedColumnFormula>
    </tableColumn>
  </tableColumns>
  <tableStyleInfo name="TablaGPU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4178C28-3F5E-46F2-BE25-D0BE8E0C25D8}" name="GPU_Nvidia56813" displayName="GPU_Nvidia56813" ref="N30:W41" totalsRowShown="0" headerRowDxfId="111" dataDxfId="110" headerRowBorderDxfId="108" tableBorderDxfId="109" totalsRowBorderDxfId="107">
  <autoFilter ref="N30:W41" xr:uid="{C4178C28-3F5E-46F2-BE25-D0BE8E0C25D8}"/>
  <sortState xmlns:xlrd2="http://schemas.microsoft.com/office/spreadsheetml/2017/richdata2" ref="N31:W41">
    <sortCondition ref="N66:N80"/>
  </sortState>
  <tableColumns count="10">
    <tableColumn id="1" xr3:uid="{BEC457A5-05D1-4CFC-843A-C32E2D16AE7F}" name="GPU" dataDxfId="106"/>
    <tableColumn id="10" xr3:uid="{803874EC-8908-4DBC-AD15-63C40175A9A2}" name="€/FPS" dataDxfId="105">
      <calculatedColumnFormula>GPU_Nvidia56813[[#This Row],[Preu]]/GPU_Nvidia56813[[#This Row],[Rendiment]]</calculatedColumnFormula>
    </tableColumn>
    <tableColumn id="8" xr3:uid="{7BD02887-DED9-47CF-B515-CCB141E98ED2}" name="W/FPS" dataDxfId="104">
      <calculatedColumnFormula>GPU_Nvidia56813[[#This Row],[Cosnum]]/GPU_Nvidia56813[[#This Row],[Rendiment]]</calculatedColumnFormula>
    </tableColumn>
    <tableColumn id="3" xr3:uid="{BF8A1305-94F4-4E08-BE43-ECE232FC48BA}" name="Memoria VRAM" dataDxfId="103">
      <calculatedColumnFormula>VLOOKUP(GPU_Nvidia56813[[#This Row],[GPU]],Recomendador!$C$4:$L$30,2,FALSE)</calculatedColumnFormula>
    </tableColumn>
    <tableColumn id="2" xr3:uid="{1F873D53-4CB9-433C-99D2-90602DECC9CB}" name="DLSS" dataDxfId="102">
      <calculatedColumnFormula>VLOOKUP(GPU_Nvidia56813[[#This Row],[GPU]],Recomendador!$C$4:$L$30,3,FALSE)</calculatedColumnFormula>
    </tableColumn>
    <tableColumn id="7" xr3:uid="{48229665-3219-42FF-B49F-CDBEC8F1D6BB}" name="Ray Tracing" dataDxfId="101">
      <calculatedColumnFormula>VLOOKUP(GPU_Nvidia56813[[#This Row],[GPU]],Recomendador!$C$4:$L$30,4,FALSE)</calculatedColumnFormula>
    </tableColumn>
    <tableColumn id="13" xr3:uid="{9D0F467B-08EE-434D-92B8-8C217BC4AA3F}" name="Rendiment" dataDxfId="100">
      <calculatedColumnFormula>VLOOKUP(GPU_Nvidia56813[[#This Row],[GPU]],Recomendador!$C$4:$L$30,5,FALSE)</calculatedColumnFormula>
    </tableColumn>
    <tableColumn id="11" xr3:uid="{0D8B2107-CE6C-41CB-B525-8579AC120C86}" name="Cosnum" dataDxfId="99">
      <calculatedColumnFormula>VLOOKUP(GPU_Nvidia56813[[#This Row],[GPU]],Recomendador!$C$4:$L$30,9,FALSE)</calculatedColumnFormula>
    </tableColumn>
    <tableColumn id="14" xr3:uid="{C5D7B019-5D12-4422-A8DF-2CB2FBEE52B8}" name="Puntuació Final" dataDxfId="98">
      <calculatedColumnFormula>INT(GPU_Nvidia56813[[#This Row],[€/FPS]]+GPU_Nvidia56813[[#This Row],[W/FPS]])/2*10</calculatedColumnFormula>
    </tableColumn>
    <tableColumn id="12" xr3:uid="{A535EF30-8D74-43D4-BED3-5DD294D3A2DD}" name="Preu" dataDxfId="97">
      <calculatedColumnFormula>VLOOKUP(GPU_Nvidia56813[[#This Row],[GPU]],Recomendador!$C$4:$L$30,10,FALSE)</calculatedColumnFormula>
    </tableColumn>
  </tableColumns>
  <tableStyleInfo name="TablaGPU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image" Target="../media/image11.emf"/><Relationship Id="rId10" Type="http://schemas.openxmlformats.org/officeDocument/2006/relationships/table" Target="../tables/table7.xml"/><Relationship Id="rId4" Type="http://schemas.openxmlformats.org/officeDocument/2006/relationships/control" Target="../activeX/activeX1.xm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2CBE9-5823-4C62-9C2E-8B3C61BFB06A}">
  <sheetPr codeName="Hoja2">
    <tabColor theme="9"/>
  </sheetPr>
  <dimension ref="A1:N57"/>
  <sheetViews>
    <sheetView topLeftCell="A18" zoomScale="72" zoomScaleNormal="70" workbookViewId="0">
      <selection activeCell="E7" sqref="E7"/>
    </sheetView>
  </sheetViews>
  <sheetFormatPr baseColWidth="10" defaultRowHeight="14.4" x14ac:dyDescent="0.3"/>
  <cols>
    <col min="1" max="1" width="25.77734375" style="3" customWidth="1"/>
    <col min="2" max="2" width="6.77734375" customWidth="1"/>
    <col min="3" max="12" width="20.6640625" customWidth="1"/>
    <col min="13" max="13" width="4.44140625" customWidth="1"/>
    <col min="14" max="14" width="27.21875" customWidth="1"/>
    <col min="15" max="15" width="20.6640625" customWidth="1"/>
    <col min="16" max="16" width="24.6640625" customWidth="1"/>
    <col min="17" max="18" width="20.6640625" customWidth="1"/>
    <col min="19" max="19" width="27.77734375" customWidth="1"/>
    <col min="20" max="20" width="25.21875" customWidth="1"/>
  </cols>
  <sheetData>
    <row r="1" spans="3:14" ht="34.799999999999997" customHeight="1" thickBot="1" x14ac:dyDescent="0.35"/>
    <row r="2" spans="3:14" ht="34.799999999999997" customHeight="1" thickBot="1" x14ac:dyDescent="0.35">
      <c r="C2" s="149">
        <f>COUNT(GPU[Preu])</f>
        <v>27</v>
      </c>
      <c r="D2" s="150"/>
      <c r="E2" s="150"/>
      <c r="F2" s="150"/>
      <c r="G2" s="150"/>
      <c r="H2" s="150"/>
      <c r="I2" s="150"/>
      <c r="J2" s="150"/>
      <c r="K2" s="150"/>
      <c r="L2" s="151"/>
    </row>
    <row r="3" spans="3:14" ht="34.799999999999997" customHeight="1" thickBot="1" x14ac:dyDescent="0.35">
      <c r="C3" s="39" t="s">
        <v>43</v>
      </c>
      <c r="D3" s="39" t="s">
        <v>0</v>
      </c>
      <c r="E3" s="39" t="s">
        <v>1</v>
      </c>
      <c r="F3" s="39" t="s">
        <v>2</v>
      </c>
      <c r="G3" s="39" t="s">
        <v>3</v>
      </c>
      <c r="H3" s="39" t="s">
        <v>53</v>
      </c>
      <c r="I3" s="39" t="s">
        <v>4</v>
      </c>
      <c r="J3" s="39" t="s">
        <v>64</v>
      </c>
      <c r="K3" s="39" t="s">
        <v>10</v>
      </c>
      <c r="L3" s="39" t="s">
        <v>7</v>
      </c>
      <c r="N3" s="6" t="s">
        <v>44</v>
      </c>
    </row>
    <row r="4" spans="3:14" ht="34.799999999999997" customHeight="1" x14ac:dyDescent="0.3">
      <c r="C4" s="95" t="s">
        <v>18</v>
      </c>
      <c r="D4" s="96" t="str" cm="1">
        <f t="array" ref="D4">_xlfn.IFS(GPU[[#This Row],[Preu]]&lt;350,"Baixa",GPU[[#This Row],[Preu]]&lt;500,"Mitja",GPU[[#This Row],[Preu]]&lt;750,"Alta",GPU[[#This Row],[Preu]]&gt;750,"Major")</f>
        <v>Baixa</v>
      </c>
      <c r="E4" s="97">
        <v>4</v>
      </c>
      <c r="F4" s="96" t="s">
        <v>5</v>
      </c>
      <c r="G4" s="96" t="s">
        <v>6</v>
      </c>
      <c r="H4" s="96" t="s">
        <v>6</v>
      </c>
      <c r="I4" s="98">
        <v>2321</v>
      </c>
      <c r="J4" s="96" t="s">
        <v>62</v>
      </c>
      <c r="K4" s="99">
        <v>53</v>
      </c>
      <c r="L4" s="100">
        <v>170</v>
      </c>
      <c r="N4" s="4"/>
    </row>
    <row r="5" spans="3:14" ht="34.799999999999997" customHeight="1" x14ac:dyDescent="0.3">
      <c r="C5" s="101" t="s">
        <v>19</v>
      </c>
      <c r="D5" s="102" t="str" cm="1">
        <f t="array" ref="D5">_xlfn.IFS(GPU[[#This Row],[Preu]]&lt;350,"Baixa",GPU[[#This Row],[Preu]]&lt;500,"Mitja",GPU[[#This Row],[Preu]]&lt;750,"Alta",GPU[[#This Row],[Preu]]&gt;750,"Major")</f>
        <v>Baixa</v>
      </c>
      <c r="E5" s="103">
        <v>4</v>
      </c>
      <c r="F5" s="102" t="s">
        <v>5</v>
      </c>
      <c r="G5" s="102" t="s">
        <v>6</v>
      </c>
      <c r="H5" s="102" t="s">
        <v>6</v>
      </c>
      <c r="I5" s="104">
        <v>2685</v>
      </c>
      <c r="J5" s="102" t="s">
        <v>62</v>
      </c>
      <c r="K5" s="105">
        <v>105</v>
      </c>
      <c r="L5" s="106">
        <v>190</v>
      </c>
      <c r="N5" s="4"/>
    </row>
    <row r="6" spans="3:14" ht="34.799999999999997" customHeight="1" x14ac:dyDescent="0.3">
      <c r="C6" s="101" t="s">
        <v>20</v>
      </c>
      <c r="D6" s="102" t="str" cm="1">
        <f t="array" ref="D6">_xlfn.IFS(GPU[[#This Row],[Preu]]&lt;350,"Baixa",GPU[[#This Row],[Preu]]&lt;500,"Mitja",GPU[[#This Row],[Preu]]&lt;750,"Alta",GPU[[#This Row],[Preu]]&gt;750,"Major")</f>
        <v>Baixa</v>
      </c>
      <c r="E6" s="103">
        <v>8</v>
      </c>
      <c r="F6" s="102" t="s">
        <v>5</v>
      </c>
      <c r="G6" s="102" t="s">
        <v>6</v>
      </c>
      <c r="H6" s="102" t="s">
        <v>6</v>
      </c>
      <c r="I6" s="104">
        <v>2044</v>
      </c>
      <c r="J6" s="102" t="s">
        <v>62</v>
      </c>
      <c r="K6" s="105">
        <v>120</v>
      </c>
      <c r="L6" s="106">
        <v>260</v>
      </c>
      <c r="N6" s="4"/>
    </row>
    <row r="7" spans="3:14" ht="34.799999999999997" customHeight="1" x14ac:dyDescent="0.3">
      <c r="C7" s="101" t="s">
        <v>21</v>
      </c>
      <c r="D7" s="102" t="str" cm="1">
        <f t="array" ref="D7">_xlfn.IFS(GPU[[#This Row],[Preu]]&lt;350,"Baixa",GPU[[#This Row],[Preu]]&lt;500,"Mitja",GPU[[#This Row],[Preu]]&lt;750,"Alta",GPU[[#This Row],[Preu]]&gt;750,"Major")</f>
        <v>Baixa</v>
      </c>
      <c r="E7" s="103">
        <v>8</v>
      </c>
      <c r="F7" s="102" t="s">
        <v>5</v>
      </c>
      <c r="G7" s="102" t="s">
        <v>6</v>
      </c>
      <c r="H7" s="102" t="s">
        <v>6</v>
      </c>
      <c r="I7" s="104">
        <v>2694</v>
      </c>
      <c r="J7" s="102" t="s">
        <v>62</v>
      </c>
      <c r="K7" s="105">
        <v>160</v>
      </c>
      <c r="L7" s="106">
        <v>320</v>
      </c>
      <c r="N7" s="4"/>
    </row>
    <row r="8" spans="3:14" ht="34.799999999999997" customHeight="1" x14ac:dyDescent="0.3">
      <c r="C8" s="101" t="s">
        <v>22</v>
      </c>
      <c r="D8" s="102" t="str" cm="1">
        <f t="array" ref="D8">_xlfn.IFS(GPU[[#This Row],[Preu]]&lt;350,"Baixa",GPU[[#This Row],[Preu]]&lt;500,"Mitja",GPU[[#This Row],[Preu]]&lt;750,"Alta",GPU[[#This Row],[Preu]]&gt;750,"Major")</f>
        <v>Mitja</v>
      </c>
      <c r="E8" s="103">
        <v>8</v>
      </c>
      <c r="F8" s="102" t="s">
        <v>5</v>
      </c>
      <c r="G8" s="102" t="s">
        <v>6</v>
      </c>
      <c r="H8" s="102" t="s">
        <v>6</v>
      </c>
      <c r="I8" s="104">
        <v>2694</v>
      </c>
      <c r="J8" s="102" t="s">
        <v>62</v>
      </c>
      <c r="K8" s="105">
        <v>180</v>
      </c>
      <c r="L8" s="106">
        <v>380</v>
      </c>
      <c r="N8" s="4"/>
    </row>
    <row r="9" spans="3:14" ht="34.799999999999997" customHeight="1" x14ac:dyDescent="0.3">
      <c r="C9" s="101" t="s">
        <v>23</v>
      </c>
      <c r="D9" s="102" t="str" cm="1">
        <f t="array" ref="D9">_xlfn.IFS(GPU[[#This Row],[Preu]]&lt;350,"Baixa",GPU[[#This Row],[Preu]]&lt;500,"Mitja",GPU[[#This Row],[Preu]]&lt;750,"Alta",GPU[[#This Row],[Preu]]&gt;750,"Major")</f>
        <v>Baixa</v>
      </c>
      <c r="E9" s="103">
        <v>10</v>
      </c>
      <c r="F9" s="102" t="s">
        <v>8</v>
      </c>
      <c r="G9" s="102" t="s">
        <v>9</v>
      </c>
      <c r="H9" s="102" t="s">
        <v>6</v>
      </c>
      <c r="I9" s="104">
        <v>2495</v>
      </c>
      <c r="J9" s="102" t="s">
        <v>62</v>
      </c>
      <c r="K9" s="105">
        <v>175</v>
      </c>
      <c r="L9" s="106">
        <v>345</v>
      </c>
      <c r="N9" s="4"/>
    </row>
    <row r="10" spans="3:14" ht="34.799999999999997" customHeight="1" x14ac:dyDescent="0.3">
      <c r="C10" s="101" t="s">
        <v>24</v>
      </c>
      <c r="D10" s="102" t="str" cm="1">
        <f t="array" ref="D10">_xlfn.IFS(GPU[[#This Row],[Preu]]&lt;350,"Baixa",GPU[[#This Row],[Preu]]&lt;500,"Mitja",GPU[[#This Row],[Preu]]&lt;750,"Alta",GPU[[#This Row],[Preu]]&gt;750,"Major")</f>
        <v>Mitja</v>
      </c>
      <c r="E10" s="103">
        <v>12</v>
      </c>
      <c r="F10" s="102" t="s">
        <v>8</v>
      </c>
      <c r="G10" s="102" t="s">
        <v>9</v>
      </c>
      <c r="H10" s="102" t="s">
        <v>6</v>
      </c>
      <c r="I10" s="104">
        <v>2581</v>
      </c>
      <c r="J10" s="102" t="s">
        <v>63</v>
      </c>
      <c r="K10" s="105">
        <v>210</v>
      </c>
      <c r="L10" s="106">
        <v>420</v>
      </c>
      <c r="N10" s="4"/>
    </row>
    <row r="11" spans="3:14" ht="34.799999999999997" customHeight="1" x14ac:dyDescent="0.3">
      <c r="C11" s="101" t="s">
        <v>25</v>
      </c>
      <c r="D11" s="102" t="str" cm="1">
        <f t="array" ref="D11">_xlfn.IFS(GPU[[#This Row],[Preu]]&lt;350,"Baixa",GPU[[#This Row],[Preu]]&lt;500,"Mitja",GPU[[#This Row],[Preu]]&lt;750,"Alta",GPU[[#This Row],[Preu]]&gt;750,"Major")</f>
        <v>Mitja</v>
      </c>
      <c r="E11" s="103">
        <v>12</v>
      </c>
      <c r="F11" s="102" t="s">
        <v>8</v>
      </c>
      <c r="G11" s="102" t="s">
        <v>9</v>
      </c>
      <c r="H11" s="102" t="s">
        <v>6</v>
      </c>
      <c r="I11" s="104">
        <v>2623</v>
      </c>
      <c r="J11" s="102" t="s">
        <v>63</v>
      </c>
      <c r="K11" s="105">
        <v>250</v>
      </c>
      <c r="L11" s="106">
        <v>470</v>
      </c>
      <c r="N11" s="4"/>
    </row>
    <row r="12" spans="3:14" ht="34.799999999999997" customHeight="1" x14ac:dyDescent="0.3">
      <c r="C12" s="101" t="s">
        <v>26</v>
      </c>
      <c r="D12" s="102" t="str" cm="1">
        <f t="array" ref="D12">_xlfn.IFS(GPU[[#This Row],[Preu]]&lt;350,"Baixa",GPU[[#This Row],[Preu]]&lt;500,"Mitja",GPU[[#This Row],[Preu]]&lt;750,"Alta",GPU[[#This Row],[Preu]]&gt;750,"Major")</f>
        <v>Alta</v>
      </c>
      <c r="E12" s="103">
        <v>16</v>
      </c>
      <c r="F12" s="102" t="s">
        <v>8</v>
      </c>
      <c r="G12" s="102" t="s">
        <v>9</v>
      </c>
      <c r="H12" s="102" t="s">
        <v>6</v>
      </c>
      <c r="I12" s="104">
        <v>2500</v>
      </c>
      <c r="J12" s="102" t="s">
        <v>63</v>
      </c>
      <c r="K12" s="105">
        <v>280</v>
      </c>
      <c r="L12" s="106">
        <v>550</v>
      </c>
      <c r="N12" s="4"/>
    </row>
    <row r="13" spans="3:14" ht="34.799999999999997" customHeight="1" x14ac:dyDescent="0.3">
      <c r="C13" s="101" t="s">
        <v>27</v>
      </c>
      <c r="D13" s="102" t="str" cm="1">
        <f t="array" ref="D13">_xlfn.IFS(GPU[[#This Row],[Preu]]&lt;350,"Baixa",GPU[[#This Row],[Preu]]&lt;500,"Mitja",GPU[[#This Row],[Preu]]&lt;750,"Alta",GPU[[#This Row],[Preu]]&gt;750,"Major")</f>
        <v>Alta</v>
      </c>
      <c r="E13" s="103">
        <v>16</v>
      </c>
      <c r="F13" s="102" t="s">
        <v>8</v>
      </c>
      <c r="G13" s="102" t="s">
        <v>9</v>
      </c>
      <c r="H13" s="102" t="s">
        <v>6</v>
      </c>
      <c r="I13" s="104">
        <v>2613</v>
      </c>
      <c r="J13" s="102" t="s">
        <v>63</v>
      </c>
      <c r="K13" s="105">
        <v>300</v>
      </c>
      <c r="L13" s="106">
        <v>680</v>
      </c>
      <c r="N13" s="4"/>
    </row>
    <row r="14" spans="3:14" ht="34.799999999999997" customHeight="1" x14ac:dyDescent="0.3">
      <c r="C14" s="101" t="s">
        <v>28</v>
      </c>
      <c r="D14" s="102" t="str" cm="1">
        <f t="array" ref="D14">_xlfn.IFS(GPU[[#This Row],[Preu]]&lt;350,"Baixa",GPU[[#This Row],[Preu]]&lt;500,"Mitja",GPU[[#This Row],[Preu]]&lt;750,"Alta",GPU[[#This Row],[Preu]]&gt;750,"Major")</f>
        <v>Major</v>
      </c>
      <c r="E14" s="103">
        <v>16</v>
      </c>
      <c r="F14" s="102" t="s">
        <v>8</v>
      </c>
      <c r="G14" s="102" t="s">
        <v>9</v>
      </c>
      <c r="H14" s="102" t="s">
        <v>6</v>
      </c>
      <c r="I14" s="104">
        <v>2250</v>
      </c>
      <c r="J14" s="102" t="s">
        <v>65</v>
      </c>
      <c r="K14" s="105">
        <v>322</v>
      </c>
      <c r="L14" s="106">
        <v>900</v>
      </c>
      <c r="N14" s="4"/>
    </row>
    <row r="15" spans="3:14" ht="34.799999999999997" customHeight="1" x14ac:dyDescent="0.3">
      <c r="C15" s="101" t="s">
        <v>29</v>
      </c>
      <c r="D15" s="102" t="str" cm="1">
        <f t="array" ref="D15">_xlfn.IFS(GPU[[#This Row],[Preu]]&lt;350,"Baixa",GPU[[#This Row],[Preu]]&lt;500,"Mitja",GPU[[#This Row],[Preu]]&lt;750,"Alta",GPU[[#This Row],[Preu]]&gt;750,"Major")</f>
        <v>Major</v>
      </c>
      <c r="E15" s="103">
        <v>16</v>
      </c>
      <c r="F15" s="102" t="s">
        <v>8</v>
      </c>
      <c r="G15" s="102" t="s">
        <v>9</v>
      </c>
      <c r="H15" s="102" t="s">
        <v>6</v>
      </c>
      <c r="I15" s="104">
        <v>2324</v>
      </c>
      <c r="J15" s="102" t="s">
        <v>65</v>
      </c>
      <c r="K15" s="105">
        <v>350</v>
      </c>
      <c r="L15" s="107">
        <v>1080</v>
      </c>
      <c r="N15" s="4"/>
    </row>
    <row r="16" spans="3:14" ht="34.799999999999997" customHeight="1" x14ac:dyDescent="0.3">
      <c r="C16" s="108" t="s">
        <v>47</v>
      </c>
      <c r="D16" s="109" t="str" cm="1">
        <f t="array" ref="D16">_xlfn.IFS(GPU[[#This Row],[Preu]]&lt;350,"Baixa",GPU[[#This Row],[Preu]]&lt;500,"Mitja",GPU[[#This Row],[Preu]]&lt;750,"Alta",GPU[[#This Row],[Preu]]&gt;750,"Major")</f>
        <v>Major</v>
      </c>
      <c r="E16" s="110">
        <v>20</v>
      </c>
      <c r="F16" s="109" t="s">
        <v>48</v>
      </c>
      <c r="G16" s="109" t="s">
        <v>9</v>
      </c>
      <c r="H16" s="102" t="s">
        <v>6</v>
      </c>
      <c r="I16" s="111">
        <v>2450</v>
      </c>
      <c r="J16" s="109" t="s">
        <v>65</v>
      </c>
      <c r="K16" s="93">
        <v>331</v>
      </c>
      <c r="L16" s="125">
        <v>1049</v>
      </c>
      <c r="N16" s="4"/>
    </row>
    <row r="17" spans="3:14" ht="34.799999999999997" customHeight="1" x14ac:dyDescent="0.3">
      <c r="C17" s="108" t="s">
        <v>46</v>
      </c>
      <c r="D17" s="109" t="str" cm="1">
        <f t="array" ref="D17">_xlfn.IFS(GPU[[#This Row],[Preu]]&lt;350,"Baixa",GPU[[#This Row],[Preu]]&lt;500,"Mitja",GPU[[#This Row],[Preu]]&lt;750,"Alta",GPU[[#This Row],[Preu]]&gt;750,"Major")</f>
        <v>Major</v>
      </c>
      <c r="E17" s="110">
        <v>24</v>
      </c>
      <c r="F17" s="109" t="s">
        <v>48</v>
      </c>
      <c r="G17" s="109" t="s">
        <v>9</v>
      </c>
      <c r="H17" s="102" t="s">
        <v>6</v>
      </c>
      <c r="I17" s="111">
        <v>2680</v>
      </c>
      <c r="J17" s="109" t="s">
        <v>65</v>
      </c>
      <c r="K17" s="93">
        <v>420</v>
      </c>
      <c r="L17" s="125">
        <v>1350</v>
      </c>
      <c r="N17" s="4"/>
    </row>
    <row r="18" spans="3:14" ht="34.799999999999997" customHeight="1" x14ac:dyDescent="0.3">
      <c r="C18" s="108" t="s">
        <v>30</v>
      </c>
      <c r="D18" s="102" t="str" cm="1">
        <f t="array" ref="D18">_xlfn.IFS(GPU[[#This Row],[Preu]]&lt;350,"Baixa",GPU[[#This Row],[Preu]]&lt;500,"Mitja",GPU[[#This Row],[Preu]]&lt;750,"Alta",GPU[[#This Row],[Preu]]&gt;750,"Major")</f>
        <v>Baixa</v>
      </c>
      <c r="E18" s="110">
        <v>4</v>
      </c>
      <c r="F18" s="109" t="s">
        <v>11</v>
      </c>
      <c r="G18" s="109" t="s">
        <v>6</v>
      </c>
      <c r="H18" s="109" t="s">
        <v>6</v>
      </c>
      <c r="I18" s="111">
        <v>1485</v>
      </c>
      <c r="J18" s="109" t="s">
        <v>62</v>
      </c>
      <c r="K18" s="93">
        <v>100</v>
      </c>
      <c r="L18" s="112">
        <v>177</v>
      </c>
      <c r="N18" s="4"/>
    </row>
    <row r="19" spans="3:14" ht="34.799999999999997" customHeight="1" x14ac:dyDescent="0.3">
      <c r="C19" s="108" t="s">
        <v>31</v>
      </c>
      <c r="D19" s="102" t="str" cm="1">
        <f t="array" ref="D19">_xlfn.IFS(GPU[[#This Row],[Preu]]&lt;350,"Baixa",GPU[[#This Row],[Preu]]&lt;500,"Mitja",GPU[[#This Row],[Preu]]&lt;750,"Alta",GPU[[#This Row],[Preu]]&gt;750,"Major")</f>
        <v>Baixa</v>
      </c>
      <c r="E19" s="110">
        <v>6</v>
      </c>
      <c r="F19" s="109" t="s">
        <v>11</v>
      </c>
      <c r="G19" s="109" t="s">
        <v>6</v>
      </c>
      <c r="H19" s="109" t="s">
        <v>6</v>
      </c>
      <c r="I19" s="111">
        <v>1700</v>
      </c>
      <c r="J19" s="109" t="s">
        <v>62</v>
      </c>
      <c r="K19" s="93">
        <v>120</v>
      </c>
      <c r="L19" s="112">
        <v>330</v>
      </c>
      <c r="N19" s="4"/>
    </row>
    <row r="20" spans="3:14" ht="34.799999999999997" customHeight="1" x14ac:dyDescent="0.3">
      <c r="C20" s="113" t="s">
        <v>32</v>
      </c>
      <c r="D20" s="102" t="str" cm="1">
        <f t="array" ref="D20">_xlfn.IFS(GPU[[#This Row],[Preu]]&lt;350,"Baixa",GPU[[#This Row],[Preu]]&lt;500,"Mitja",GPU[[#This Row],[Preu]]&lt;750,"Alta",GPU[[#This Row],[Preu]]&gt;750,"Major")</f>
        <v>Mitja</v>
      </c>
      <c r="E20" s="114">
        <v>8</v>
      </c>
      <c r="F20" s="115" t="s">
        <v>12</v>
      </c>
      <c r="G20" s="115" t="s">
        <v>9</v>
      </c>
      <c r="H20" s="115" t="s">
        <v>9</v>
      </c>
      <c r="I20" s="116">
        <v>1780</v>
      </c>
      <c r="J20" s="115" t="s">
        <v>62</v>
      </c>
      <c r="K20" s="117">
        <v>130</v>
      </c>
      <c r="L20" s="118">
        <v>350</v>
      </c>
      <c r="N20" s="4"/>
    </row>
    <row r="21" spans="3:14" ht="34.799999999999997" customHeight="1" x14ac:dyDescent="0.3">
      <c r="C21" s="108" t="s">
        <v>33</v>
      </c>
      <c r="D21" s="102" t="str" cm="1">
        <f t="array" ref="D21">_xlfn.IFS(GPU[[#This Row],[Preu]]&lt;350,"Baixa",GPU[[#This Row],[Preu]]&lt;500,"Mitja",GPU[[#This Row],[Preu]]&lt;750,"Alta",GPU[[#This Row],[Preu]]&gt;750,"Major")</f>
        <v>Mitja</v>
      </c>
      <c r="E21" s="110">
        <v>12</v>
      </c>
      <c r="F21" s="109" t="s">
        <v>12</v>
      </c>
      <c r="G21" s="109" t="s">
        <v>9</v>
      </c>
      <c r="H21" s="115" t="s">
        <v>9</v>
      </c>
      <c r="I21" s="111">
        <v>1777</v>
      </c>
      <c r="J21" s="109" t="s">
        <v>62</v>
      </c>
      <c r="K21" s="93">
        <v>170</v>
      </c>
      <c r="L21" s="112">
        <v>370</v>
      </c>
      <c r="N21" s="4"/>
    </row>
    <row r="22" spans="3:14" ht="34.799999999999997" customHeight="1" x14ac:dyDescent="0.3">
      <c r="C22" s="108" t="s">
        <v>34</v>
      </c>
      <c r="D22" s="102" t="str" cm="1">
        <f t="array" ref="D22">_xlfn.IFS(GPU[[#This Row],[Preu]]&lt;350,"Baixa",GPU[[#This Row],[Preu]]&lt;500,"Mitja",GPU[[#This Row],[Preu]]&lt;750,"Alta",GPU[[#This Row],[Preu]]&gt;750,"Major")</f>
        <v>Mitja</v>
      </c>
      <c r="E22" s="110">
        <v>8</v>
      </c>
      <c r="F22" s="109" t="s">
        <v>12</v>
      </c>
      <c r="G22" s="109" t="s">
        <v>9</v>
      </c>
      <c r="H22" s="115" t="s">
        <v>9</v>
      </c>
      <c r="I22" s="111">
        <v>2044</v>
      </c>
      <c r="J22" s="109" t="s">
        <v>62</v>
      </c>
      <c r="K22" s="93">
        <v>200</v>
      </c>
      <c r="L22" s="112">
        <v>480</v>
      </c>
      <c r="N22" s="4"/>
    </row>
    <row r="23" spans="3:14" ht="34.799999999999997" customHeight="1" x14ac:dyDescent="0.3">
      <c r="C23" s="108" t="s">
        <v>35</v>
      </c>
      <c r="D23" s="102" t="str" cm="1">
        <f t="array" ref="D23">_xlfn.IFS(GPU[[#This Row],[Preu]]&lt;350,"Baixa",GPU[[#This Row],[Preu]]&lt;500,"Mitja",GPU[[#This Row],[Preu]]&lt;750,"Alta",GPU[[#This Row],[Preu]]&gt;750,"Major")</f>
        <v>Alta</v>
      </c>
      <c r="E23" s="110">
        <v>8</v>
      </c>
      <c r="F23" s="109" t="s">
        <v>12</v>
      </c>
      <c r="G23" s="109" t="s">
        <v>9</v>
      </c>
      <c r="H23" s="115" t="s">
        <v>9</v>
      </c>
      <c r="I23" s="111">
        <v>2694</v>
      </c>
      <c r="J23" s="109" t="s">
        <v>63</v>
      </c>
      <c r="K23" s="93">
        <v>220</v>
      </c>
      <c r="L23" s="112">
        <v>570</v>
      </c>
      <c r="N23" s="4"/>
    </row>
    <row r="24" spans="3:14" ht="34.799999999999997" customHeight="1" thickBot="1" x14ac:dyDescent="0.35">
      <c r="C24" s="119" t="s">
        <v>36</v>
      </c>
      <c r="D24" s="120" t="str" cm="1">
        <f t="array" ref="D24">_xlfn.IFS(GPU[[#This Row],[Preu]]&lt;350,"Baixa",GPU[[#This Row],[Preu]]&lt;500,"Mitja",GPU[[#This Row],[Preu]]&lt;750,"Alta",GPU[[#This Row],[Preu]]&gt;750,"Major")</f>
        <v>Alta</v>
      </c>
      <c r="E24" s="121">
        <v>8</v>
      </c>
      <c r="F24" s="120" t="s">
        <v>12</v>
      </c>
      <c r="G24" s="120" t="s">
        <v>9</v>
      </c>
      <c r="H24" s="115" t="s">
        <v>9</v>
      </c>
      <c r="I24" s="122">
        <v>1770</v>
      </c>
      <c r="J24" s="120" t="s">
        <v>63</v>
      </c>
      <c r="K24" s="123">
        <v>290</v>
      </c>
      <c r="L24" s="124">
        <v>690</v>
      </c>
      <c r="N24" s="5"/>
    </row>
    <row r="25" spans="3:14" ht="34.799999999999997" customHeight="1" x14ac:dyDescent="0.3">
      <c r="C25" s="113" t="s">
        <v>37</v>
      </c>
      <c r="D25" s="115" t="str" cm="1">
        <f t="array" ref="D25">_xlfn.IFS(GPU[[#This Row],[Preu]]&lt;350,"Baixa",GPU[[#This Row],[Preu]]&lt;500,"Mitja",GPU[[#This Row],[Preu]]&lt;750,"Alta",GPU[[#This Row],[Preu]]&gt;750,"Major")</f>
        <v>Major</v>
      </c>
      <c r="E25" s="114">
        <v>10</v>
      </c>
      <c r="F25" s="115" t="s">
        <v>12</v>
      </c>
      <c r="G25" s="115" t="s">
        <v>9</v>
      </c>
      <c r="H25" s="115" t="s">
        <v>9</v>
      </c>
      <c r="I25" s="116">
        <v>1845</v>
      </c>
      <c r="J25" s="115" t="s">
        <v>63</v>
      </c>
      <c r="K25" s="117">
        <v>320</v>
      </c>
      <c r="L25" s="118">
        <v>800</v>
      </c>
    </row>
    <row r="26" spans="3:14" ht="34.799999999999997" customHeight="1" x14ac:dyDescent="0.3">
      <c r="C26" s="108" t="s">
        <v>38</v>
      </c>
      <c r="D26" s="102" t="str" cm="1">
        <f t="array" ref="D26">_xlfn.IFS(GPU[[#This Row],[Preu]]&lt;350,"Baixa",GPU[[#This Row],[Preu]]&lt;500,"Mitja",GPU[[#This Row],[Preu]]&lt;750,"Alta",GPU[[#This Row],[Preu]]&gt;750,"Major")</f>
        <v>Major</v>
      </c>
      <c r="E26" s="110">
        <v>12</v>
      </c>
      <c r="F26" s="109" t="s">
        <v>12</v>
      </c>
      <c r="G26" s="109" t="s">
        <v>9</v>
      </c>
      <c r="H26" s="115" t="s">
        <v>9</v>
      </c>
      <c r="I26" s="111">
        <v>1710</v>
      </c>
      <c r="J26" s="109" t="s">
        <v>63</v>
      </c>
      <c r="K26" s="93">
        <v>350</v>
      </c>
      <c r="L26" s="112">
        <v>1091</v>
      </c>
    </row>
    <row r="27" spans="3:14" ht="34.799999999999997" customHeight="1" x14ac:dyDescent="0.3">
      <c r="C27" s="108" t="s">
        <v>39</v>
      </c>
      <c r="D27" s="102" t="str" cm="1">
        <f t="array" ref="D27">_xlfn.IFS(GPU[[#This Row],[Preu]]&lt;350,"Baixa",GPU[[#This Row],[Preu]]&lt;500,"Mitja",GPU[[#This Row],[Preu]]&lt;750,"Alta",GPU[[#This Row],[Preu]]&gt;750,"Major")</f>
        <v>Major</v>
      </c>
      <c r="E27" s="110">
        <v>12</v>
      </c>
      <c r="F27" s="109" t="s">
        <v>12</v>
      </c>
      <c r="G27" s="109" t="s">
        <v>9</v>
      </c>
      <c r="H27" s="115" t="s">
        <v>9</v>
      </c>
      <c r="I27" s="111">
        <v>1890</v>
      </c>
      <c r="J27" s="109" t="s">
        <v>65</v>
      </c>
      <c r="K27" s="93">
        <v>450</v>
      </c>
      <c r="L27" s="112">
        <v>1200</v>
      </c>
    </row>
    <row r="28" spans="3:14" ht="34.799999999999997" customHeight="1" x14ac:dyDescent="0.3">
      <c r="C28" s="108" t="s">
        <v>40</v>
      </c>
      <c r="D28" s="102" t="str" cm="1">
        <f t="array" ref="D28">_xlfn.IFS(GPU[[#This Row],[Preu]]&lt;350,"Baixa",GPU[[#This Row],[Preu]]&lt;500,"Mitja",GPU[[#This Row],[Preu]]&lt;750,"Alta",GPU[[#This Row],[Preu]]&gt;750,"Major")</f>
        <v>Major</v>
      </c>
      <c r="E28" s="110">
        <v>16</v>
      </c>
      <c r="F28" s="109" t="s">
        <v>12</v>
      </c>
      <c r="G28" s="109" t="s">
        <v>9</v>
      </c>
      <c r="H28" s="115" t="s">
        <v>9</v>
      </c>
      <c r="I28" s="111">
        <v>2500</v>
      </c>
      <c r="J28" s="109" t="s">
        <v>65</v>
      </c>
      <c r="K28" s="93">
        <v>450</v>
      </c>
      <c r="L28" s="112">
        <v>1500</v>
      </c>
    </row>
    <row r="29" spans="3:14" ht="34.799999999999997" customHeight="1" x14ac:dyDescent="0.3">
      <c r="C29" s="108" t="s">
        <v>41</v>
      </c>
      <c r="D29" s="102" t="str" cm="1">
        <f t="array" ref="D29">_xlfn.IFS(GPU[[#This Row],[Preu]]&lt;350,"Baixa",GPU[[#This Row],[Preu]]&lt;500,"Mitja",GPU[[#This Row],[Preu]]&lt;750,"Alta",GPU[[#This Row],[Preu]]&gt;750,"Major")</f>
        <v>Major</v>
      </c>
      <c r="E29" s="110">
        <v>16</v>
      </c>
      <c r="F29" s="109" t="s">
        <v>12</v>
      </c>
      <c r="G29" s="109" t="s">
        <v>9</v>
      </c>
      <c r="H29" s="115" t="s">
        <v>9</v>
      </c>
      <c r="I29" s="111">
        <v>2565</v>
      </c>
      <c r="J29" s="109" t="s">
        <v>65</v>
      </c>
      <c r="K29" s="93">
        <v>320</v>
      </c>
      <c r="L29" s="112">
        <v>1550</v>
      </c>
    </row>
    <row r="30" spans="3:14" ht="34.799999999999997" customHeight="1" x14ac:dyDescent="0.3">
      <c r="C30" s="101" t="s">
        <v>42</v>
      </c>
      <c r="D30" s="102" t="str" cm="1">
        <f t="array" ref="D30">_xlfn.IFS(GPU[[#This Row],[Preu]]&lt;350,"Baixa",GPU[[#This Row],[Preu]]&lt;500,"Mitja",GPU[[#This Row],[Preu]]&lt;750,"Alta",GPU[[#This Row],[Preu]]&gt;750,"Major")</f>
        <v>Major</v>
      </c>
      <c r="E30" s="103">
        <v>24</v>
      </c>
      <c r="F30" s="102" t="s">
        <v>12</v>
      </c>
      <c r="G30" s="102" t="s">
        <v>9</v>
      </c>
      <c r="H30" s="102" t="s">
        <v>9</v>
      </c>
      <c r="I30" s="104">
        <v>2565</v>
      </c>
      <c r="J30" s="102" t="s">
        <v>65</v>
      </c>
      <c r="K30" s="105">
        <v>450</v>
      </c>
      <c r="L30" s="106">
        <v>1900</v>
      </c>
    </row>
    <row r="31" spans="3:14" ht="34.799999999999997" customHeight="1" x14ac:dyDescent="0.3">
      <c r="C31" s="152"/>
      <c r="D31" s="152"/>
      <c r="F31" s="152"/>
      <c r="G31" s="153"/>
      <c r="I31" s="152" t="s">
        <v>45</v>
      </c>
      <c r="J31" s="152"/>
    </row>
    <row r="32" spans="3:14" ht="34.799999999999997" customHeight="1" x14ac:dyDescent="0.3">
      <c r="D32">
        <v>26</v>
      </c>
    </row>
    <row r="33" spans="3:5" ht="34.799999999999997" customHeight="1" x14ac:dyDescent="0.3"/>
    <row r="34" spans="3:5" ht="34.799999999999997" customHeight="1" x14ac:dyDescent="0.3"/>
    <row r="35" spans="3:5" ht="34.799999999999997" customHeight="1" x14ac:dyDescent="0.3"/>
    <row r="36" spans="3:5" ht="34.799999999999997" customHeight="1" x14ac:dyDescent="0.3"/>
    <row r="37" spans="3:5" ht="34.799999999999997" customHeight="1" x14ac:dyDescent="0.3"/>
    <row r="38" spans="3:5" ht="34.799999999999997" customHeight="1" x14ac:dyDescent="0.3"/>
    <row r="39" spans="3:5" ht="34.799999999999997" customHeight="1" x14ac:dyDescent="0.3"/>
    <row r="40" spans="3:5" ht="34.799999999999997" customHeight="1" x14ac:dyDescent="0.3"/>
    <row r="41" spans="3:5" ht="34.799999999999997" customHeight="1" x14ac:dyDescent="0.3"/>
    <row r="42" spans="3:5" ht="34.799999999999997" customHeight="1" x14ac:dyDescent="0.3"/>
    <row r="43" spans="3:5" ht="34.799999999999997" customHeight="1" x14ac:dyDescent="0.3"/>
    <row r="44" spans="3:5" ht="34.799999999999997" customHeight="1" x14ac:dyDescent="0.3"/>
    <row r="45" spans="3:5" ht="34.799999999999997" customHeight="1" x14ac:dyDescent="0.3"/>
    <row r="46" spans="3:5" ht="34.799999999999997" customHeight="1" x14ac:dyDescent="0.3"/>
    <row r="47" spans="3:5" ht="34.799999999999997" customHeight="1" x14ac:dyDescent="0.35">
      <c r="C47" s="126" t="s">
        <v>62</v>
      </c>
      <c r="E47" t="s">
        <v>9</v>
      </c>
    </row>
    <row r="48" spans="3:5" ht="34.799999999999997" customHeight="1" x14ac:dyDescent="0.35">
      <c r="C48" s="126" t="s">
        <v>63</v>
      </c>
      <c r="E48" t="s">
        <v>6</v>
      </c>
    </row>
    <row r="49" spans="3:3" ht="34.799999999999997" customHeight="1" x14ac:dyDescent="0.35">
      <c r="C49" s="126" t="s">
        <v>65</v>
      </c>
    </row>
    <row r="50" spans="3:3" ht="34.799999999999997" customHeight="1" x14ac:dyDescent="0.3"/>
    <row r="51" spans="3:3" ht="34.799999999999997" customHeight="1" x14ac:dyDescent="0.3"/>
    <row r="52" spans="3:3" ht="34.799999999999997" customHeight="1" x14ac:dyDescent="0.3"/>
    <row r="53" spans="3:3" ht="34.799999999999997" customHeight="1" x14ac:dyDescent="0.3"/>
    <row r="54" spans="3:3" ht="34.799999999999997" customHeight="1" x14ac:dyDescent="0.3"/>
    <row r="55" spans="3:3" ht="34.799999999999997" customHeight="1" x14ac:dyDescent="0.3"/>
    <row r="56" spans="3:3" ht="34.799999999999997" customHeight="1" x14ac:dyDescent="0.3"/>
    <row r="57" spans="3:3" ht="34.799999999999997" customHeight="1" x14ac:dyDescent="0.3"/>
  </sheetData>
  <mergeCells count="4">
    <mergeCell ref="C2:L2"/>
    <mergeCell ref="C31:D31"/>
    <mergeCell ref="F31:G31"/>
    <mergeCell ref="I31:J31"/>
  </mergeCells>
  <phoneticPr fontId="3" type="noConversion"/>
  <conditionalFormatting sqref="K4:K30">
    <cfRule type="cellIs" dxfId="96" priority="100" operator="greaterThan">
      <formula>300</formula>
    </cfRule>
    <cfRule type="cellIs" dxfId="95" priority="101" operator="between">
      <formula>230</formula>
      <formula>300</formula>
    </cfRule>
    <cfRule type="cellIs" dxfId="94" priority="102" operator="between">
      <formula>170</formula>
      <formula>230</formula>
    </cfRule>
    <cfRule type="cellIs" dxfId="93" priority="103" operator="between">
      <formula>130</formula>
      <formula>170</formula>
    </cfRule>
    <cfRule type="cellIs" dxfId="92" priority="104" operator="between">
      <formula>70</formula>
      <formula>130</formula>
    </cfRule>
    <cfRule type="cellIs" dxfId="91" priority="106" operator="between">
      <formula>0</formula>
      <formula>80</formula>
    </cfRule>
  </conditionalFormatting>
  <conditionalFormatting sqref="E4:E30">
    <cfRule type="cellIs" dxfId="90" priority="115" operator="greaterThan">
      <formula>12</formula>
    </cfRule>
    <cfRule type="cellIs" dxfId="89" priority="116" operator="between">
      <formula>10</formula>
      <formula>12</formula>
    </cfRule>
    <cfRule type="cellIs" dxfId="88" priority="117" operator="between">
      <formula>8</formula>
      <formula>10</formula>
    </cfRule>
    <cfRule type="cellIs" dxfId="87" priority="118" operator="between">
      <formula>4</formula>
      <formula>8</formula>
    </cfRule>
    <cfRule type="cellIs" dxfId="86" priority="119" operator="between">
      <formula>0</formula>
      <formula>4</formula>
    </cfRule>
  </conditionalFormatting>
  <conditionalFormatting sqref="H4:H30">
    <cfRule type="containsText" dxfId="85" priority="11" operator="containsText" text="SI">
      <formula>NOT(ISERROR(SEARCH("SI",H4)))</formula>
    </cfRule>
    <cfRule type="containsText" dxfId="84" priority="12" operator="containsText" text="NO">
      <formula>NOT(ISERROR(SEARCH("NO",H4)))</formula>
    </cfRule>
  </conditionalFormatting>
  <conditionalFormatting sqref="G4:G30">
    <cfRule type="containsText" dxfId="83" priority="1" operator="containsText" text="NO">
      <formula>NOT(ISERROR(SEARCH("NO",G4)))</formula>
    </cfRule>
    <cfRule type="containsText" dxfId="82" priority="2" operator="containsText" text="SI">
      <formula>NOT(ISERROR(SEARCH("SI",G4)))</formula>
    </cfRule>
  </conditionalFormatting>
  <conditionalFormatting sqref="L4:L30">
    <cfRule type="colorScale" priority="962">
      <colorScale>
        <cfvo type="min"/>
        <cfvo type="max"/>
        <color theme="9" tint="0.79998168889431442"/>
        <color rgb="FFFF9D9D"/>
      </colorScale>
    </cfRule>
    <cfRule type="dataBar" priority="96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{B8862DDD-9020-440C-B72A-65E0108CF2EB}</x14:id>
        </ext>
      </extLst>
    </cfRule>
    <cfRule type="cellIs" dxfId="81" priority="964" operator="greaterThan">
      <formula>1000</formula>
    </cfRule>
    <cfRule type="cellIs" dxfId="80" priority="965" operator="between">
      <formula>700</formula>
      <formula>1000</formula>
    </cfRule>
    <cfRule type="cellIs" dxfId="79" priority="966" operator="between">
      <formula>500</formula>
      <formula>700</formula>
    </cfRule>
    <cfRule type="cellIs" dxfId="78" priority="967" operator="between">
      <formula>300</formula>
      <formula>500</formula>
    </cfRule>
    <cfRule type="cellIs" dxfId="77" priority="968" operator="lessThan">
      <formula>300</formula>
    </cfRule>
    <cfRule type="cellIs" dxfId="76" priority="969" operator="lessThan">
      <formula>300</formula>
    </cfRule>
  </conditionalFormatting>
  <conditionalFormatting sqref="I4:I30">
    <cfRule type="dataBar" priority="9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{D1E5812C-CB07-4421-BEAB-B464D032E914}</x14:id>
        </ext>
      </extLst>
    </cfRule>
  </conditionalFormatting>
  <dataValidations count="3">
    <dataValidation type="decimal" allowBlank="1" showInputMessage="1" showErrorMessage="1" sqref="K4:L30 I4:I30 E4:E30" xr:uid="{4A784598-1376-43EF-A468-A315A38A120F}">
      <formula1>0</formula1>
      <formula2>30000</formula2>
    </dataValidation>
    <dataValidation type="list" allowBlank="1" showInputMessage="1" showErrorMessage="1" sqref="J4:J30" xr:uid="{53163BA3-948C-4E9C-8DEF-91C8C41A123D}">
      <formula1>$C$47:$C$49</formula1>
    </dataValidation>
    <dataValidation type="list" allowBlank="1" showInputMessage="1" showErrorMessage="1" sqref="G4:H30" xr:uid="{D9A2CA77-80C8-4743-BB0E-9ECA29436C46}">
      <formula1>$E$47:$E$48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862DDD-9020-440C-B72A-65E0108CF2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L4:L30</xm:sqref>
        </x14:conditionalFormatting>
        <x14:conditionalFormatting xmlns:xm="http://schemas.microsoft.com/office/excel/2006/main">
          <x14:cfRule type="dataBar" id="{D1E5812C-CB07-4421-BEAB-B464D032E9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I4:I30</xm:sqref>
        </x14:conditionalFormatting>
        <x14:conditionalFormatting xmlns:xm="http://schemas.microsoft.com/office/excel/2006/main">
          <x14:cfRule type="iconSet" priority="980" id="{A64C824A-D929-44D6-BA94-D92B5D282C9C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250</xm:f>
              </x14:cfvo>
              <x14:cfIcon iconSet="NoIcons" iconId="0"/>
              <x14:cfIcon iconSet="NoIcons" iconId="0"/>
              <x14:cfIcon iconSet="3Symbols" iconId="1"/>
            </x14:iconSet>
          </x14:cfRule>
          <xm:sqref>K4:K30</xm:sqref>
        </x14:conditionalFormatting>
        <x14:conditionalFormatting xmlns:xm="http://schemas.microsoft.com/office/excel/2006/main">
          <x14:cfRule type="iconSet" priority="982" id="{6CEC1E98-8CC4-4F79-8D0C-8A5824144ADB}">
            <x14:iconSet custom="1">
              <x14:cfvo type="percent">
                <xm:f>0</xm:f>
              </x14:cfvo>
              <x14:cfvo type="num" gte="0">
                <xm:f>4</xm:f>
              </x14:cfvo>
              <x14:cfvo type="num" gte="0">
                <xm:f>4</xm:f>
              </x14:cfvo>
              <x14:cfIcon iconSet="3Symbols" iconId="1"/>
              <x14:cfIcon iconSet="NoIcons" iconId="0"/>
              <x14:cfIcon iconSet="NoIcons" iconId="0"/>
            </x14:iconSet>
          </x14:cfRule>
          <xm:sqref>E4:E30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17121-6607-425E-AAAA-49A3CBEF1C43}">
  <sheetPr codeName="Hoja3">
    <tabColor rgb="FF0070C0"/>
  </sheetPr>
  <dimension ref="A1:K64"/>
  <sheetViews>
    <sheetView topLeftCell="A19" zoomScale="80" zoomScaleNormal="80" workbookViewId="0">
      <selection activeCell="G17" sqref="G17"/>
    </sheetView>
  </sheetViews>
  <sheetFormatPr baseColWidth="10" defaultRowHeight="14.4" x14ac:dyDescent="0.3"/>
  <cols>
    <col min="1" max="1" width="25.77734375" style="3" customWidth="1"/>
    <col min="2" max="2" width="6.77734375" customWidth="1"/>
    <col min="3" max="11" width="20.6640625" customWidth="1"/>
  </cols>
  <sheetData>
    <row r="1" spans="3:11" ht="34.799999999999997" customHeight="1" thickBot="1" x14ac:dyDescent="0.35">
      <c r="C1" s="157" t="s">
        <v>88</v>
      </c>
      <c r="D1" s="157"/>
      <c r="E1" s="157"/>
      <c r="F1" s="157"/>
      <c r="G1" s="157"/>
      <c r="H1" s="157"/>
      <c r="I1" s="157"/>
      <c r="J1" s="157"/>
      <c r="K1" s="157"/>
    </row>
    <row r="2" spans="3:11" ht="34.799999999999997" customHeight="1" thickBot="1" x14ac:dyDescent="0.35">
      <c r="C2" s="154" t="s">
        <v>17</v>
      </c>
      <c r="D2" s="155"/>
      <c r="E2" s="155"/>
      <c r="F2" s="155"/>
      <c r="G2" s="155"/>
      <c r="H2" s="155"/>
      <c r="I2" s="155"/>
      <c r="J2" s="155"/>
      <c r="K2" s="156"/>
    </row>
    <row r="3" spans="3:11" ht="34.799999999999997" customHeight="1" thickBot="1" x14ac:dyDescent="0.35">
      <c r="C3" s="1" t="s">
        <v>13</v>
      </c>
      <c r="D3" s="94" t="s">
        <v>15</v>
      </c>
      <c r="E3" s="94" t="s">
        <v>16</v>
      </c>
      <c r="F3" s="94" t="s">
        <v>14</v>
      </c>
      <c r="G3" s="1" t="s">
        <v>49</v>
      </c>
      <c r="H3" s="1" t="s">
        <v>50</v>
      </c>
      <c r="I3" s="1" t="s">
        <v>52</v>
      </c>
      <c r="J3" s="1" t="s">
        <v>51</v>
      </c>
      <c r="K3" s="1" t="s">
        <v>7</v>
      </c>
    </row>
    <row r="4" spans="3:11" ht="34.799999999999997" customHeight="1" x14ac:dyDescent="0.3">
      <c r="C4" s="17" t="str">
        <f>GPU[[#This Row],[GPU]]</f>
        <v>AMD RX 6400</v>
      </c>
      <c r="D4" s="92">
        <v>26</v>
      </c>
      <c r="E4" s="92">
        <v>27</v>
      </c>
      <c r="F4" s="92">
        <v>30</v>
      </c>
      <c r="G4" s="20">
        <f>INT(AVERAGE(Rendiment[[#This Row],[GTA V ]:[Doom Eternal]]))</f>
        <v>27</v>
      </c>
      <c r="H4" s="18">
        <f>GPU[[#This Row],[Cosnum]]</f>
        <v>53</v>
      </c>
      <c r="I4" s="21">
        <f>Rendiment[[#This Row],[Preu]]/Rendiment[[#This Row],[Rendiment]]</f>
        <v>6.2962962962962967</v>
      </c>
      <c r="J4" s="22">
        <f>Rendiment[[#This Row],[Consum]]/Rendiment[[#This Row],[Rendiment]]</f>
        <v>1.962962962962963</v>
      </c>
      <c r="K4" s="186">
        <f>VLOOKUP(C4,GPU!$C$4:$L$30,10,FALSE)</f>
        <v>170</v>
      </c>
    </row>
    <row r="5" spans="3:11" ht="34.799999999999997" customHeight="1" x14ac:dyDescent="0.3">
      <c r="C5" s="17" t="str">
        <f>GPU[[#This Row],[GPU]]</f>
        <v>AMD RX 6500 XT</v>
      </c>
      <c r="D5" s="92">
        <v>30</v>
      </c>
      <c r="E5" s="92">
        <v>40</v>
      </c>
      <c r="F5" s="92">
        <v>40</v>
      </c>
      <c r="G5" s="20">
        <f>INT(AVERAGE(Rendiment[[#This Row],[GTA V ]:[Doom Eternal]]))</f>
        <v>36</v>
      </c>
      <c r="H5" s="18">
        <f>GPU[[#This Row],[Cosnum]]</f>
        <v>105</v>
      </c>
      <c r="I5" s="21">
        <f>Rendiment[[#This Row],[Preu]]/Rendiment[[#This Row],[Rendiment]]</f>
        <v>5.2777777777777777</v>
      </c>
      <c r="J5" s="22">
        <f>Rendiment[[#This Row],[Consum]]/Rendiment[[#This Row],[Rendiment]]</f>
        <v>2.9166666666666665</v>
      </c>
      <c r="K5" s="186">
        <f>VLOOKUP(C5,GPU!$C$4:$L$30,10,FALSE)</f>
        <v>190</v>
      </c>
    </row>
    <row r="6" spans="3:11" ht="34.799999999999997" customHeight="1" x14ac:dyDescent="0.3">
      <c r="C6" s="17" t="str">
        <f>GPU[[#This Row],[GPU]]</f>
        <v>AMD RX 6600</v>
      </c>
      <c r="D6" s="92">
        <v>30</v>
      </c>
      <c r="E6" s="92">
        <v>40</v>
      </c>
      <c r="F6" s="92">
        <v>42</v>
      </c>
      <c r="G6" s="20">
        <f>INT(AVERAGE(Rendiment[[#This Row],[GTA V ]:[Doom Eternal]]))</f>
        <v>37</v>
      </c>
      <c r="H6" s="18">
        <f>GPU[[#This Row],[Cosnum]]</f>
        <v>120</v>
      </c>
      <c r="I6" s="21">
        <f>Rendiment[[#This Row],[Preu]]/Rendiment[[#This Row],[Rendiment]]</f>
        <v>7.0270270270270272</v>
      </c>
      <c r="J6" s="22">
        <f>Rendiment[[#This Row],[Consum]]/Rendiment[[#This Row],[Rendiment]]</f>
        <v>3.2432432432432434</v>
      </c>
      <c r="K6" s="186">
        <f>VLOOKUP(C6,GPU!$C$4:$L$30,10,FALSE)</f>
        <v>260</v>
      </c>
    </row>
    <row r="7" spans="3:11" ht="34.799999999999997" customHeight="1" x14ac:dyDescent="0.3">
      <c r="C7" s="17" t="str">
        <f>GPU[[#This Row],[GPU]]</f>
        <v>AMD RX 6600 XT</v>
      </c>
      <c r="D7" s="92">
        <v>48</v>
      </c>
      <c r="E7" s="92">
        <v>48</v>
      </c>
      <c r="F7" s="92">
        <v>50</v>
      </c>
      <c r="G7" s="20">
        <f>INT(AVERAGE(Rendiment[[#This Row],[GTA V ]:[Doom Eternal]]))</f>
        <v>48</v>
      </c>
      <c r="H7" s="18">
        <f>GPU[[#This Row],[Cosnum]]</f>
        <v>160</v>
      </c>
      <c r="I7" s="21">
        <f>Rendiment[[#This Row],[Preu]]/Rendiment[[#This Row],[Rendiment]]</f>
        <v>6.666666666666667</v>
      </c>
      <c r="J7" s="22">
        <f>Rendiment[[#This Row],[Consum]]/Rendiment[[#This Row],[Rendiment]]</f>
        <v>3.3333333333333335</v>
      </c>
      <c r="K7" s="186">
        <f>VLOOKUP(C7,GPU!$C$4:$L$30,10,FALSE)</f>
        <v>320</v>
      </c>
    </row>
    <row r="8" spans="3:11" ht="34.799999999999997" customHeight="1" x14ac:dyDescent="0.3">
      <c r="C8" s="17" t="str">
        <f>GPU[[#This Row],[GPU]]</f>
        <v>AMD RX 6650 XT</v>
      </c>
      <c r="D8" s="92">
        <v>53</v>
      </c>
      <c r="E8" s="92">
        <v>57</v>
      </c>
      <c r="F8" s="92">
        <v>60</v>
      </c>
      <c r="G8" s="20">
        <f>INT(AVERAGE(Rendiment[[#This Row],[GTA V ]:[Doom Eternal]]))</f>
        <v>56</v>
      </c>
      <c r="H8" s="18">
        <f>GPU[[#This Row],[Cosnum]]</f>
        <v>180</v>
      </c>
      <c r="I8" s="21">
        <f>Rendiment[[#This Row],[Preu]]/Rendiment[[#This Row],[Rendiment]]</f>
        <v>6.7857142857142856</v>
      </c>
      <c r="J8" s="22">
        <f>Rendiment[[#This Row],[Consum]]/Rendiment[[#This Row],[Rendiment]]</f>
        <v>3.2142857142857144</v>
      </c>
      <c r="K8" s="186">
        <f>VLOOKUP(C8,GPU!$C$4:$L$30,10,FALSE)</f>
        <v>380</v>
      </c>
    </row>
    <row r="9" spans="3:11" ht="34.799999999999997" customHeight="1" x14ac:dyDescent="0.3">
      <c r="C9" s="17" t="str">
        <f>GPU[[#This Row],[GPU]]</f>
        <v>AMD RX 6700</v>
      </c>
      <c r="D9" s="92">
        <v>60</v>
      </c>
      <c r="E9" s="92">
        <v>63</v>
      </c>
      <c r="F9" s="92">
        <v>70</v>
      </c>
      <c r="G9" s="20">
        <f>INT(AVERAGE(Rendiment[[#This Row],[GTA V ]:[Doom Eternal]]))</f>
        <v>64</v>
      </c>
      <c r="H9" s="18">
        <f>GPU[[#This Row],[Cosnum]]</f>
        <v>175</v>
      </c>
      <c r="I9" s="21">
        <f>Rendiment[[#This Row],[Preu]]/Rendiment[[#This Row],[Rendiment]]</f>
        <v>5.390625</v>
      </c>
      <c r="J9" s="22">
        <f>Rendiment[[#This Row],[Consum]]/Rendiment[[#This Row],[Rendiment]]</f>
        <v>2.734375</v>
      </c>
      <c r="K9" s="186">
        <f>VLOOKUP(C9,GPU!$C$4:$L$30,10,FALSE)</f>
        <v>345</v>
      </c>
    </row>
    <row r="10" spans="3:11" ht="34.799999999999997" customHeight="1" x14ac:dyDescent="0.3">
      <c r="C10" s="17" t="str">
        <f>GPU[[#This Row],[GPU]]</f>
        <v>AMD RX 6700 XT</v>
      </c>
      <c r="D10" s="92">
        <v>75</v>
      </c>
      <c r="E10" s="92">
        <v>64</v>
      </c>
      <c r="F10" s="92">
        <v>80</v>
      </c>
      <c r="G10" s="20">
        <f>INT(AVERAGE(Rendiment[[#This Row],[GTA V ]:[Doom Eternal]]))</f>
        <v>73</v>
      </c>
      <c r="H10" s="18">
        <f>GPU[[#This Row],[Cosnum]]</f>
        <v>210</v>
      </c>
      <c r="I10" s="21">
        <f>Rendiment[[#This Row],[Preu]]/Rendiment[[#This Row],[Rendiment]]</f>
        <v>5.7534246575342465</v>
      </c>
      <c r="J10" s="22">
        <f>Rendiment[[#This Row],[Consum]]/Rendiment[[#This Row],[Rendiment]]</f>
        <v>2.8767123287671232</v>
      </c>
      <c r="K10" s="186">
        <f>VLOOKUP(C10,GPU!$C$4:$L$30,10,FALSE)</f>
        <v>420</v>
      </c>
    </row>
    <row r="11" spans="3:11" ht="34.799999999999997" customHeight="1" x14ac:dyDescent="0.3">
      <c r="C11" s="17" t="str">
        <f>GPU[[#This Row],[GPU]]</f>
        <v>AMD RX 6750 XT</v>
      </c>
      <c r="D11" s="92">
        <v>87</v>
      </c>
      <c r="E11" s="92">
        <v>75</v>
      </c>
      <c r="F11" s="92">
        <v>110</v>
      </c>
      <c r="G11" s="20">
        <f>INT(AVERAGE(Rendiment[[#This Row],[GTA V ]:[Doom Eternal]]))</f>
        <v>90</v>
      </c>
      <c r="H11" s="18">
        <f>GPU[[#This Row],[Cosnum]]</f>
        <v>250</v>
      </c>
      <c r="I11" s="21">
        <f>Rendiment[[#This Row],[Preu]]/Rendiment[[#This Row],[Rendiment]]</f>
        <v>5.2222222222222223</v>
      </c>
      <c r="J11" s="22">
        <f>Rendiment[[#This Row],[Consum]]/Rendiment[[#This Row],[Rendiment]]</f>
        <v>2.7777777777777777</v>
      </c>
      <c r="K11" s="186">
        <f>VLOOKUP(C11,GPU!$C$4:$L$30,10,FALSE)</f>
        <v>470</v>
      </c>
    </row>
    <row r="12" spans="3:11" ht="34.799999999999997" customHeight="1" x14ac:dyDescent="0.3">
      <c r="C12" s="17" t="str">
        <f>GPU[[#This Row],[GPU]]</f>
        <v>AMD RX 6800</v>
      </c>
      <c r="D12" s="92">
        <v>98</v>
      </c>
      <c r="E12" s="92">
        <v>80</v>
      </c>
      <c r="F12" s="92">
        <v>125</v>
      </c>
      <c r="G12" s="20">
        <f>INT(AVERAGE(Rendiment[[#This Row],[GTA V ]:[Doom Eternal]]))</f>
        <v>101</v>
      </c>
      <c r="H12" s="18">
        <f>GPU[[#This Row],[Cosnum]]</f>
        <v>280</v>
      </c>
      <c r="I12" s="21">
        <f>Rendiment[[#This Row],[Preu]]/Rendiment[[#This Row],[Rendiment]]</f>
        <v>5.4455445544554459</v>
      </c>
      <c r="J12" s="22">
        <f>Rendiment[[#This Row],[Consum]]/Rendiment[[#This Row],[Rendiment]]</f>
        <v>2.7722772277227721</v>
      </c>
      <c r="K12" s="186">
        <f>VLOOKUP(C12,GPU!$C$4:$L$30,10,FALSE)</f>
        <v>550</v>
      </c>
    </row>
    <row r="13" spans="3:11" ht="34.799999999999997" customHeight="1" x14ac:dyDescent="0.3">
      <c r="C13" s="17" t="str">
        <f>GPU[[#This Row],[GPU]]</f>
        <v>AMD RX 6800 XT</v>
      </c>
      <c r="D13" s="92">
        <v>111</v>
      </c>
      <c r="E13" s="92">
        <v>90</v>
      </c>
      <c r="F13" s="92">
        <v>130</v>
      </c>
      <c r="G13" s="20">
        <f>INT(AVERAGE(Rendiment[[#This Row],[GTA V ]:[Doom Eternal]]))</f>
        <v>110</v>
      </c>
      <c r="H13" s="18">
        <f>GPU[[#This Row],[Cosnum]]</f>
        <v>300</v>
      </c>
      <c r="I13" s="21">
        <f>Rendiment[[#This Row],[Preu]]/Rendiment[[#This Row],[Rendiment]]</f>
        <v>6.1818181818181817</v>
      </c>
      <c r="J13" s="22">
        <f>Rendiment[[#This Row],[Consum]]/Rendiment[[#This Row],[Rendiment]]</f>
        <v>2.7272727272727271</v>
      </c>
      <c r="K13" s="186">
        <f>VLOOKUP(C13,GPU!$C$4:$L$30,10,FALSE)</f>
        <v>680</v>
      </c>
    </row>
    <row r="14" spans="3:11" ht="34.799999999999997" customHeight="1" x14ac:dyDescent="0.3">
      <c r="C14" s="17" t="str">
        <f>GPU[[#This Row],[GPU]]</f>
        <v>AMD RX 6900 XT</v>
      </c>
      <c r="D14" s="92">
        <v>124</v>
      </c>
      <c r="E14" s="92">
        <v>95</v>
      </c>
      <c r="F14" s="92">
        <v>160</v>
      </c>
      <c r="G14" s="20">
        <f>INT(AVERAGE(Rendiment[[#This Row],[GTA V ]:[Doom Eternal]]))</f>
        <v>126</v>
      </c>
      <c r="H14" s="18">
        <f>GPU[[#This Row],[Cosnum]]</f>
        <v>322</v>
      </c>
      <c r="I14" s="21">
        <f>Rendiment[[#This Row],[Preu]]/Rendiment[[#This Row],[Rendiment]]</f>
        <v>7.1428571428571432</v>
      </c>
      <c r="J14" s="22">
        <f>Rendiment[[#This Row],[Consum]]/Rendiment[[#This Row],[Rendiment]]</f>
        <v>2.5555555555555554</v>
      </c>
      <c r="K14" s="186">
        <f>VLOOKUP(C14,GPU!$C$4:$L$30,10,FALSE)</f>
        <v>900</v>
      </c>
    </row>
    <row r="15" spans="3:11" ht="34.799999999999997" customHeight="1" x14ac:dyDescent="0.3">
      <c r="C15" s="17" t="str">
        <f>GPU[[#This Row],[GPU]]</f>
        <v>AMD RX 6950 XT</v>
      </c>
      <c r="D15" s="92">
        <v>145</v>
      </c>
      <c r="E15" s="92">
        <v>105</v>
      </c>
      <c r="F15" s="92">
        <v>185</v>
      </c>
      <c r="G15" s="20">
        <f>INT(AVERAGE(Rendiment[[#This Row],[GTA V ]:[Doom Eternal]]))</f>
        <v>145</v>
      </c>
      <c r="H15" s="18">
        <f>GPU[[#This Row],[Cosnum]]</f>
        <v>350</v>
      </c>
      <c r="I15" s="21">
        <f>Rendiment[[#This Row],[Preu]]/Rendiment[[#This Row],[Rendiment]]</f>
        <v>7.4482758620689653</v>
      </c>
      <c r="J15" s="22">
        <f>Rendiment[[#This Row],[Consum]]/Rendiment[[#This Row],[Rendiment]]</f>
        <v>2.4137931034482758</v>
      </c>
      <c r="K15" s="186">
        <f>VLOOKUP(C15,GPU!$C$4:$L$30,10,FALSE)</f>
        <v>1080</v>
      </c>
    </row>
    <row r="16" spans="3:11" ht="34.799999999999997" customHeight="1" x14ac:dyDescent="0.3">
      <c r="C16" s="17" t="str">
        <f>GPU[[#This Row],[GPU]]</f>
        <v>AMD RX 7900 XT</v>
      </c>
      <c r="D16" s="92">
        <v>160</v>
      </c>
      <c r="E16" s="92">
        <v>115</v>
      </c>
      <c r="F16" s="92">
        <v>190</v>
      </c>
      <c r="G16" s="20">
        <f>INT(AVERAGE(Rendiment[[#This Row],[GTA V ]:[Doom Eternal]]))</f>
        <v>155</v>
      </c>
      <c r="H16" s="18">
        <f>GPU[[#This Row],[Cosnum]]</f>
        <v>331</v>
      </c>
      <c r="I16" s="21">
        <f>Rendiment[[#This Row],[Preu]]/Rendiment[[#This Row],[Rendiment]]</f>
        <v>6.7677419354838708</v>
      </c>
      <c r="J16" s="22">
        <f>Rendiment[[#This Row],[Consum]]/Rendiment[[#This Row],[Rendiment]]</f>
        <v>2.1354838709677417</v>
      </c>
      <c r="K16" s="186">
        <f>VLOOKUP(C16,GPU!$C$4:$L$30,10,FALSE)</f>
        <v>1049</v>
      </c>
    </row>
    <row r="17" spans="3:11" ht="34.799999999999997" customHeight="1" x14ac:dyDescent="0.3">
      <c r="C17" s="17" t="str">
        <f>GPU[[#This Row],[GPU]]</f>
        <v>AMD RX 7900 XTX</v>
      </c>
      <c r="D17" s="92">
        <v>180</v>
      </c>
      <c r="E17" s="92">
        <v>140</v>
      </c>
      <c r="F17" s="92">
        <v>210</v>
      </c>
      <c r="G17" s="20">
        <f>INT(AVERAGE(Rendiment[[#This Row],[GTA V ]:[Doom Eternal]]))</f>
        <v>176</v>
      </c>
      <c r="H17" s="18">
        <f>GPU[[#This Row],[Cosnum]]</f>
        <v>420</v>
      </c>
      <c r="I17" s="21">
        <f>Rendiment[[#This Row],[Preu]]/Rendiment[[#This Row],[Rendiment]]</f>
        <v>7.6704545454545459</v>
      </c>
      <c r="J17" s="22">
        <f>Rendiment[[#This Row],[Consum]]/Rendiment[[#This Row],[Rendiment]]</f>
        <v>2.3863636363636362</v>
      </c>
      <c r="K17" s="186">
        <f>VLOOKUP(C17,GPU!$C$4:$L$30,10,FALSE)</f>
        <v>1350</v>
      </c>
    </row>
    <row r="18" spans="3:11" ht="34.799999999999997" customHeight="1" x14ac:dyDescent="0.3">
      <c r="C18" s="17" t="str">
        <f>GPU[[#This Row],[GPU]]</f>
        <v>Nvidia GTX 1650</v>
      </c>
      <c r="D18" s="92">
        <v>26</v>
      </c>
      <c r="E18" s="92">
        <v>27</v>
      </c>
      <c r="F18" s="92">
        <v>30</v>
      </c>
      <c r="G18" s="20">
        <f>INT(AVERAGE(Rendiment[[#This Row],[GTA V ]:[Doom Eternal]]))</f>
        <v>27</v>
      </c>
      <c r="H18" s="18">
        <f>GPU[[#This Row],[Cosnum]]</f>
        <v>100</v>
      </c>
      <c r="I18" s="21">
        <f>Rendiment[[#This Row],[Preu]]/Rendiment[[#This Row],[Rendiment]]</f>
        <v>6.5555555555555554</v>
      </c>
      <c r="J18" s="22">
        <f>Rendiment[[#This Row],[Consum]]/Rendiment[[#This Row],[Rendiment]]</f>
        <v>3.7037037037037037</v>
      </c>
      <c r="K18" s="186">
        <f>VLOOKUP(C18,GPU!$C$4:$L$30,10,FALSE)</f>
        <v>177</v>
      </c>
    </row>
    <row r="19" spans="3:11" ht="34.799999999999997" customHeight="1" x14ac:dyDescent="0.3">
      <c r="C19" s="17" t="str">
        <f>GPU[[#This Row],[GPU]]</f>
        <v>Nvidia GTX 1660 TI</v>
      </c>
      <c r="D19" s="92">
        <v>40</v>
      </c>
      <c r="E19" s="92">
        <v>40</v>
      </c>
      <c r="F19" s="92">
        <v>40</v>
      </c>
      <c r="G19" s="20">
        <f>INT(AVERAGE(Rendiment[[#This Row],[GTA V ]:[Doom Eternal]]))</f>
        <v>40</v>
      </c>
      <c r="H19" s="18">
        <f>GPU[[#This Row],[Cosnum]]</f>
        <v>120</v>
      </c>
      <c r="I19" s="21">
        <f>Rendiment[[#This Row],[Preu]]/Rendiment[[#This Row],[Rendiment]]</f>
        <v>8.25</v>
      </c>
      <c r="J19" s="22">
        <f>Rendiment[[#This Row],[Consum]]/Rendiment[[#This Row],[Rendiment]]</f>
        <v>3</v>
      </c>
      <c r="K19" s="186">
        <f>VLOOKUP(C19,GPU!$C$4:$L$30,10,FALSE)</f>
        <v>330</v>
      </c>
    </row>
    <row r="20" spans="3:11" ht="34.799999999999997" customHeight="1" x14ac:dyDescent="0.3">
      <c r="C20" s="17" t="str">
        <f>GPU[[#This Row],[GPU]]</f>
        <v>Nvidia RTX 3050</v>
      </c>
      <c r="D20" s="92">
        <v>30</v>
      </c>
      <c r="E20" s="92">
        <v>40</v>
      </c>
      <c r="F20" s="92">
        <v>42</v>
      </c>
      <c r="G20" s="20">
        <f>INT(AVERAGE(Rendiment[[#This Row],[GTA V ]:[Doom Eternal]]))</f>
        <v>37</v>
      </c>
      <c r="H20" s="18">
        <f>GPU[[#This Row],[Cosnum]]</f>
        <v>130</v>
      </c>
      <c r="I20" s="21">
        <f>Rendiment[[#This Row],[Preu]]/Rendiment[[#This Row],[Rendiment]]</f>
        <v>9.4594594594594597</v>
      </c>
      <c r="J20" s="22">
        <f>Rendiment[[#This Row],[Consum]]/Rendiment[[#This Row],[Rendiment]]</f>
        <v>3.5135135135135136</v>
      </c>
      <c r="K20" s="186">
        <f>VLOOKUP(C20,GPU!$C$4:$L$30,10,FALSE)</f>
        <v>350</v>
      </c>
    </row>
    <row r="21" spans="3:11" ht="34.799999999999997" customHeight="1" x14ac:dyDescent="0.3">
      <c r="C21" s="17" t="str">
        <f>GPU[[#This Row],[GPU]]</f>
        <v>Nvidia RTX 3060</v>
      </c>
      <c r="D21" s="92">
        <v>48</v>
      </c>
      <c r="E21" s="92">
        <v>48</v>
      </c>
      <c r="F21" s="92">
        <v>50</v>
      </c>
      <c r="G21" s="20">
        <f>INT(AVERAGE(Rendiment[[#This Row],[GTA V ]:[Doom Eternal]]))</f>
        <v>48</v>
      </c>
      <c r="H21" s="18">
        <f>GPU[[#This Row],[Cosnum]]</f>
        <v>170</v>
      </c>
      <c r="I21" s="21">
        <f>Rendiment[[#This Row],[Preu]]/Rendiment[[#This Row],[Rendiment]]</f>
        <v>7.708333333333333</v>
      </c>
      <c r="J21" s="22">
        <f>Rendiment[[#This Row],[Consum]]/Rendiment[[#This Row],[Rendiment]]</f>
        <v>3.5416666666666665</v>
      </c>
      <c r="K21" s="186">
        <f>VLOOKUP(C21,GPU!$C$4:$L$30,10,FALSE)</f>
        <v>370</v>
      </c>
    </row>
    <row r="22" spans="3:11" ht="34.799999999999997" customHeight="1" x14ac:dyDescent="0.3">
      <c r="C22" s="17" t="str">
        <f>GPU[[#This Row],[GPU]]</f>
        <v>Nvidia RTX 3060 TI</v>
      </c>
      <c r="D22" s="92">
        <v>53</v>
      </c>
      <c r="E22" s="92">
        <v>57</v>
      </c>
      <c r="F22" s="92">
        <v>70</v>
      </c>
      <c r="G22" s="20">
        <f>INT(AVERAGE(Rendiment[[#This Row],[GTA V ]:[Doom Eternal]]))</f>
        <v>60</v>
      </c>
      <c r="H22" s="18">
        <f>GPU[[#This Row],[Cosnum]]</f>
        <v>200</v>
      </c>
      <c r="I22" s="21">
        <f>Rendiment[[#This Row],[Preu]]/Rendiment[[#This Row],[Rendiment]]</f>
        <v>8</v>
      </c>
      <c r="J22" s="22">
        <f>Rendiment[[#This Row],[Consum]]/Rendiment[[#This Row],[Rendiment]]</f>
        <v>3.3333333333333335</v>
      </c>
      <c r="K22" s="186">
        <f>VLOOKUP(C22,GPU!$C$4:$L$30,10,FALSE)</f>
        <v>480</v>
      </c>
    </row>
    <row r="23" spans="3:11" ht="34.799999999999997" customHeight="1" x14ac:dyDescent="0.3">
      <c r="C23" s="17" t="str">
        <f>GPU[[#This Row],[GPU]]</f>
        <v>Nvidia RTX 3070</v>
      </c>
      <c r="D23" s="92">
        <v>60</v>
      </c>
      <c r="E23" s="92">
        <v>63</v>
      </c>
      <c r="F23" s="92">
        <v>100</v>
      </c>
      <c r="G23" s="20">
        <f>INT(AVERAGE(Rendiment[[#This Row],[GTA V ]:[Doom Eternal]]))</f>
        <v>74</v>
      </c>
      <c r="H23" s="18">
        <f>GPU[[#This Row],[Cosnum]]</f>
        <v>220</v>
      </c>
      <c r="I23" s="21">
        <f>Rendiment[[#This Row],[Preu]]/Rendiment[[#This Row],[Rendiment]]</f>
        <v>7.7027027027027026</v>
      </c>
      <c r="J23" s="22">
        <f>Rendiment[[#This Row],[Consum]]/Rendiment[[#This Row],[Rendiment]]</f>
        <v>2.9729729729729728</v>
      </c>
      <c r="K23" s="186">
        <f>VLOOKUP(C23,GPU!$C$4:$L$30,10,FALSE)</f>
        <v>570</v>
      </c>
    </row>
    <row r="24" spans="3:11" ht="34.799999999999997" customHeight="1" x14ac:dyDescent="0.3">
      <c r="C24" s="17" t="str">
        <f>GPU[[#This Row],[GPU]]</f>
        <v>Nvidia RTX 3070 TI</v>
      </c>
      <c r="D24" s="92">
        <v>75</v>
      </c>
      <c r="E24" s="92">
        <v>64</v>
      </c>
      <c r="F24" s="92">
        <v>115</v>
      </c>
      <c r="G24" s="20">
        <f>INT(AVERAGE(Rendiment[[#This Row],[GTA V ]:[Doom Eternal]]))</f>
        <v>84</v>
      </c>
      <c r="H24" s="18">
        <f>GPU[[#This Row],[Cosnum]]</f>
        <v>290</v>
      </c>
      <c r="I24" s="21">
        <f>Rendiment[[#This Row],[Preu]]/Rendiment[[#This Row],[Rendiment]]</f>
        <v>8.2142857142857135</v>
      </c>
      <c r="J24" s="22">
        <f>Rendiment[[#This Row],[Consum]]/Rendiment[[#This Row],[Rendiment]]</f>
        <v>3.4523809523809526</v>
      </c>
      <c r="K24" s="186">
        <f>VLOOKUP(C24,GPU!$C$4:$L$30,10,FALSE)</f>
        <v>690</v>
      </c>
    </row>
    <row r="25" spans="3:11" ht="34.799999999999997" customHeight="1" x14ac:dyDescent="0.3">
      <c r="C25" s="17" t="str">
        <f>GPU[[#This Row],[GPU]]</f>
        <v>Nvidia RTX 3080</v>
      </c>
      <c r="D25" s="92">
        <v>87</v>
      </c>
      <c r="E25" s="92">
        <v>75</v>
      </c>
      <c r="F25" s="92">
        <v>130</v>
      </c>
      <c r="G25" s="20">
        <f>INT(AVERAGE(Rendiment[[#This Row],[GTA V ]:[Doom Eternal]]))</f>
        <v>97</v>
      </c>
      <c r="H25" s="18">
        <f>GPU[[#This Row],[Cosnum]]</f>
        <v>320</v>
      </c>
      <c r="I25" s="21">
        <f>Rendiment[[#This Row],[Preu]]/Rendiment[[#This Row],[Rendiment]]</f>
        <v>8.2474226804123703</v>
      </c>
      <c r="J25" s="22">
        <f>Rendiment[[#This Row],[Consum]]/Rendiment[[#This Row],[Rendiment]]</f>
        <v>3.2989690721649483</v>
      </c>
      <c r="K25" s="186">
        <f>VLOOKUP(C25,GPU!$C$4:$L$30,10,FALSE)</f>
        <v>800</v>
      </c>
    </row>
    <row r="26" spans="3:11" ht="34.799999999999997" customHeight="1" x14ac:dyDescent="0.3">
      <c r="C26" s="17" t="str">
        <f>GPU[[#This Row],[GPU]]</f>
        <v>Nvidia RTX 3080 TI</v>
      </c>
      <c r="D26" s="92">
        <v>98</v>
      </c>
      <c r="E26" s="92">
        <v>80</v>
      </c>
      <c r="F26" s="92">
        <v>159</v>
      </c>
      <c r="G26" s="20">
        <f>INT(AVERAGE(Rendiment[[#This Row],[GTA V ]:[Doom Eternal]]))</f>
        <v>112</v>
      </c>
      <c r="H26" s="18">
        <f>GPU[[#This Row],[Cosnum]]</f>
        <v>350</v>
      </c>
      <c r="I26" s="21">
        <f>Rendiment[[#This Row],[Preu]]/Rendiment[[#This Row],[Rendiment]]</f>
        <v>9.7410714285714288</v>
      </c>
      <c r="J26" s="22">
        <f>Rendiment[[#This Row],[Consum]]/Rendiment[[#This Row],[Rendiment]]</f>
        <v>3.125</v>
      </c>
      <c r="K26" s="186">
        <f>VLOOKUP(C26,GPU!$C$4:$L$30,10,FALSE)</f>
        <v>1091</v>
      </c>
    </row>
    <row r="27" spans="3:11" ht="34.799999999999997" customHeight="1" x14ac:dyDescent="0.3">
      <c r="C27" s="17" t="str">
        <f>GPU[[#This Row],[GPU]]</f>
        <v>Nvidia RTX 3090</v>
      </c>
      <c r="D27" s="92">
        <v>111</v>
      </c>
      <c r="E27" s="92">
        <v>90</v>
      </c>
      <c r="F27" s="92">
        <v>172</v>
      </c>
      <c r="G27" s="20">
        <f>INT(AVERAGE(Rendiment[[#This Row],[GTA V ]:[Doom Eternal]]))</f>
        <v>124</v>
      </c>
      <c r="H27" s="18">
        <f>GPU[[#This Row],[Cosnum]]</f>
        <v>450</v>
      </c>
      <c r="I27" s="21">
        <f>Rendiment[[#This Row],[Preu]]/Rendiment[[#This Row],[Rendiment]]</f>
        <v>9.67741935483871</v>
      </c>
      <c r="J27" s="22">
        <f>Rendiment[[#This Row],[Consum]]/Rendiment[[#This Row],[Rendiment]]</f>
        <v>3.629032258064516</v>
      </c>
      <c r="K27" s="186">
        <f>VLOOKUP(C27,GPU!$C$4:$L$30,10,FALSE)</f>
        <v>1200</v>
      </c>
    </row>
    <row r="28" spans="3:11" ht="34.799999999999997" customHeight="1" x14ac:dyDescent="0.3">
      <c r="C28" s="17" t="str">
        <f>GPU[[#This Row],[GPU]]</f>
        <v>Nvidia RTX 3090 TI</v>
      </c>
      <c r="D28" s="92">
        <v>124</v>
      </c>
      <c r="E28" s="92">
        <v>95</v>
      </c>
      <c r="F28" s="92">
        <v>180</v>
      </c>
      <c r="G28" s="20">
        <f>INT(AVERAGE(Rendiment[[#This Row],[GTA V ]:[Doom Eternal]]))</f>
        <v>133</v>
      </c>
      <c r="H28" s="18">
        <f>GPU[[#This Row],[Cosnum]]</f>
        <v>450</v>
      </c>
      <c r="I28" s="21">
        <f>Rendiment[[#This Row],[Preu]]/Rendiment[[#This Row],[Rendiment]]</f>
        <v>11.278195488721805</v>
      </c>
      <c r="J28" s="22">
        <f>Rendiment[[#This Row],[Consum]]/Rendiment[[#This Row],[Rendiment]]</f>
        <v>3.3834586466165413</v>
      </c>
      <c r="K28" s="186">
        <f>VLOOKUP(C28,GPU!$C$4:$L$30,10,FALSE)</f>
        <v>1500</v>
      </c>
    </row>
    <row r="29" spans="3:11" ht="34.799999999999997" customHeight="1" x14ac:dyDescent="0.3">
      <c r="C29" s="17" t="str">
        <f>GPU[[#This Row],[GPU]]</f>
        <v>Nvidia RTX 4080</v>
      </c>
      <c r="D29" s="92">
        <v>145</v>
      </c>
      <c r="E29" s="92">
        <v>105</v>
      </c>
      <c r="F29" s="92">
        <v>200</v>
      </c>
      <c r="G29" s="20">
        <f>INT(AVERAGE(Rendiment[[#This Row],[GTA V ]:[Doom Eternal]]))</f>
        <v>150</v>
      </c>
      <c r="H29" s="18">
        <f>GPU[[#This Row],[Cosnum]]</f>
        <v>320</v>
      </c>
      <c r="I29" s="21">
        <f>Rendiment[[#This Row],[Preu]]/Rendiment[[#This Row],[Rendiment]]</f>
        <v>10.333333333333334</v>
      </c>
      <c r="J29" s="22">
        <f>Rendiment[[#This Row],[Consum]]/Rendiment[[#This Row],[Rendiment]]</f>
        <v>2.1333333333333333</v>
      </c>
      <c r="K29" s="186">
        <f>VLOOKUP(C29,GPU!$C$4:$L$30,10,FALSE)</f>
        <v>1550</v>
      </c>
    </row>
    <row r="30" spans="3:11" ht="34.799999999999997" customHeight="1" x14ac:dyDescent="0.3">
      <c r="C30" s="17" t="str">
        <f>GPU[[#This Row],[GPU]]</f>
        <v>Nvidia RTX 4090</v>
      </c>
      <c r="D30" s="92">
        <v>180</v>
      </c>
      <c r="E30" s="92">
        <v>149</v>
      </c>
      <c r="F30" s="92">
        <v>220</v>
      </c>
      <c r="G30" s="20">
        <f>INT(AVERAGE(Rendiment[[#This Row],[GTA V ]:[Doom Eternal]]))</f>
        <v>183</v>
      </c>
      <c r="H30" s="18">
        <f>GPU[[#This Row],[Cosnum]]</f>
        <v>450</v>
      </c>
      <c r="I30" s="21">
        <f>Rendiment[[#This Row],[Preu]]/Rendiment[[#This Row],[Rendiment]]</f>
        <v>10.382513661202186</v>
      </c>
      <c r="J30" s="22">
        <f>Rendiment[[#This Row],[Consum]]/Rendiment[[#This Row],[Rendiment]]</f>
        <v>2.459016393442623</v>
      </c>
      <c r="K30" s="186">
        <f>VLOOKUP(C30,GPU!$C$4:$L$30,10,FALSE)</f>
        <v>1900</v>
      </c>
    </row>
    <row r="31" spans="3:11" ht="34.799999999999997" customHeight="1" x14ac:dyDescent="0.3"/>
    <row r="32" spans="3:11" ht="34.799999999999997" customHeight="1" x14ac:dyDescent="0.3"/>
    <row r="33" ht="34.799999999999997" customHeight="1" x14ac:dyDescent="0.3"/>
    <row r="34" ht="34.799999999999997" customHeight="1" x14ac:dyDescent="0.3"/>
    <row r="35" ht="34.799999999999997" customHeight="1" x14ac:dyDescent="0.3"/>
    <row r="36" ht="34.799999999999997" customHeight="1" x14ac:dyDescent="0.3"/>
    <row r="37" ht="34.799999999999997" customHeight="1" x14ac:dyDescent="0.3"/>
    <row r="38" ht="34.799999999999997" customHeight="1" x14ac:dyDescent="0.3"/>
    <row r="39" ht="34.799999999999997" customHeight="1" x14ac:dyDescent="0.3"/>
    <row r="40" ht="34.799999999999997" customHeight="1" x14ac:dyDescent="0.3"/>
    <row r="41" ht="34.799999999999997" customHeight="1" x14ac:dyDescent="0.3"/>
    <row r="42" ht="34.799999999999997" customHeight="1" x14ac:dyDescent="0.3"/>
    <row r="43" ht="34.799999999999997" customHeight="1" x14ac:dyDescent="0.3"/>
    <row r="44" ht="34.799999999999997" customHeight="1" x14ac:dyDescent="0.3"/>
    <row r="45" ht="34.799999999999997" customHeight="1" x14ac:dyDescent="0.3"/>
    <row r="46" ht="34.799999999999997" customHeight="1" x14ac:dyDescent="0.3"/>
    <row r="47" ht="34.799999999999997" customHeight="1" x14ac:dyDescent="0.3"/>
    <row r="48" ht="34.799999999999997" customHeight="1" x14ac:dyDescent="0.3"/>
    <row r="49" ht="34.799999999999997" customHeight="1" x14ac:dyDescent="0.3"/>
    <row r="50" ht="34.799999999999997" customHeight="1" x14ac:dyDescent="0.3"/>
    <row r="51" ht="34.799999999999997" customHeight="1" x14ac:dyDescent="0.3"/>
    <row r="52" ht="34.799999999999997" customHeight="1" x14ac:dyDescent="0.3"/>
    <row r="53" ht="34.799999999999997" customHeight="1" x14ac:dyDescent="0.3"/>
    <row r="54" ht="34.799999999999997" customHeight="1" x14ac:dyDescent="0.3"/>
    <row r="55" ht="34.799999999999997" customHeight="1" x14ac:dyDescent="0.3"/>
    <row r="56" ht="34.799999999999997" customHeight="1" x14ac:dyDescent="0.3"/>
    <row r="57" ht="34.799999999999997" customHeight="1" x14ac:dyDescent="0.3"/>
    <row r="58" ht="34.799999999999997" customHeight="1" x14ac:dyDescent="0.3"/>
    <row r="59" ht="34.799999999999997" customHeight="1" x14ac:dyDescent="0.3"/>
    <row r="60" ht="34.799999999999997" customHeight="1" x14ac:dyDescent="0.3"/>
    <row r="61" ht="34.799999999999997" customHeight="1" x14ac:dyDescent="0.3"/>
    <row r="62" ht="34.799999999999997" customHeight="1" x14ac:dyDescent="0.3"/>
    <row r="63" ht="34.799999999999997" customHeight="1" x14ac:dyDescent="0.3"/>
    <row r="64" ht="34.799999999999997" customHeight="1" x14ac:dyDescent="0.3"/>
  </sheetData>
  <mergeCells count="2">
    <mergeCell ref="C2:K2"/>
    <mergeCell ref="C1:K1"/>
  </mergeCells>
  <conditionalFormatting sqref="K4:K30">
    <cfRule type="colorScale" priority="1">
      <colorScale>
        <cfvo type="min"/>
        <cfvo type="max"/>
        <color theme="9" tint="0.79998168889431442"/>
        <color rgb="FFFF9D9D"/>
      </colorScale>
    </cfRule>
    <cfRule type="colorScale" priority="2">
      <colorScale>
        <cfvo type="min"/>
        <cfvo type="max"/>
        <color theme="9" tint="0.79998168889431442"/>
        <color theme="5" tint="0.59999389629810485"/>
      </colorScale>
    </cfRule>
    <cfRule type="dataBar" priority="11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{5138045B-C5A9-4535-B95C-5A7723330059}</x14:id>
        </ext>
      </extLst>
    </cfRule>
  </conditionalFormatting>
  <conditionalFormatting sqref="F4:F30">
    <cfRule type="dataBar" priority="10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{A6D1412E-AEF1-4E10-B035-6A40A4237A7D}</x14:id>
        </ext>
      </extLst>
    </cfRule>
  </conditionalFormatting>
  <conditionalFormatting sqref="D4:D30">
    <cfRule type="dataBar" priority="9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{A9134F3C-A2F1-483B-9746-BDFA40EA0B40}</x14:id>
        </ext>
      </extLst>
    </cfRule>
  </conditionalFormatting>
  <conditionalFormatting sqref="E4:E30">
    <cfRule type="dataBar" priority="8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{2702B812-C1EA-4FB2-AF58-28B2A3A00303}</x14:id>
        </ext>
      </extLst>
    </cfRule>
  </conditionalFormatting>
  <dataValidations count="1">
    <dataValidation type="whole" allowBlank="1" showInputMessage="1" showErrorMessage="1" sqref="D4:F30 G4:G30" xr:uid="{82B5F6C6-6FB5-44E8-91FB-8AEC22D05FFC}">
      <formula1>0</formula1>
      <formula2>30000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38045B-C5A9-4535-B95C-5A77233300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K4:K30</xm:sqref>
        </x14:conditionalFormatting>
        <x14:conditionalFormatting xmlns:xm="http://schemas.microsoft.com/office/excel/2006/main">
          <x14:cfRule type="dataBar" id="{A6D1412E-AEF1-4E10-B035-6A40A4237A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F4:F30</xm:sqref>
        </x14:conditionalFormatting>
        <x14:conditionalFormatting xmlns:xm="http://schemas.microsoft.com/office/excel/2006/main">
          <x14:cfRule type="dataBar" id="{A9134F3C-A2F1-483B-9746-BDFA40EA0B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D4:D30</xm:sqref>
        </x14:conditionalFormatting>
        <x14:conditionalFormatting xmlns:xm="http://schemas.microsoft.com/office/excel/2006/main">
          <x14:cfRule type="dataBar" id="{2702B812-C1EA-4FB2-AF58-28B2A3A003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E4:E30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9DAE0-B0AD-4F79-9F17-0B7357273CBE}">
  <sheetPr codeName="Hoja4">
    <tabColor rgb="FF7030A0"/>
  </sheetPr>
  <dimension ref="A1:W87"/>
  <sheetViews>
    <sheetView tabSelected="1" zoomScale="74" zoomScaleNormal="73" workbookViewId="0">
      <selection activeCell="B1" sqref="B1"/>
    </sheetView>
  </sheetViews>
  <sheetFormatPr baseColWidth="10" defaultRowHeight="14.4" x14ac:dyDescent="0.3"/>
  <cols>
    <col min="1" max="1" width="25.77734375" style="3" customWidth="1"/>
    <col min="2" max="2" width="6.77734375" customWidth="1"/>
    <col min="3" max="23" width="20.6640625" customWidth="1"/>
    <col min="24" max="24" width="18.44140625" customWidth="1"/>
    <col min="25" max="29" width="20.6640625" customWidth="1"/>
  </cols>
  <sheetData>
    <row r="1" spans="1:23" ht="34.799999999999997" customHeight="1" thickBot="1" x14ac:dyDescent="0.35">
      <c r="C1" s="171" t="s">
        <v>54</v>
      </c>
      <c r="D1" s="172"/>
      <c r="E1" s="172"/>
      <c r="F1" s="172"/>
      <c r="G1" s="172"/>
      <c r="H1" s="172"/>
      <c r="I1" s="172"/>
      <c r="J1" s="172"/>
      <c r="K1" s="172"/>
      <c r="L1" s="173"/>
    </row>
    <row r="2" spans="1:23" ht="34.799999999999997" customHeight="1" thickBot="1" x14ac:dyDescent="0.35">
      <c r="C2" s="91" t="s">
        <v>59</v>
      </c>
      <c r="D2" s="89" t="s">
        <v>60</v>
      </c>
      <c r="E2" s="89"/>
      <c r="F2" s="89"/>
      <c r="G2" s="89"/>
      <c r="H2" s="89"/>
      <c r="I2" s="89"/>
      <c r="J2" s="89"/>
      <c r="K2" s="89"/>
      <c r="L2" s="90"/>
      <c r="N2" s="154" t="str">
        <f>_xlfn.CONCAT("GAMA BAIXA: ",MIN(GPU_Nvidia5210[Preu]),"€"," - ",MAX(GPU_Nvidia5210[Preu]),"€, ",MIN(GPU_Nvidia5210[Cosnum]),"W"," - ",MAX(GPU_Nvidia5210[Cosnum]),"W, ",MIN(GPU_Nvidia5210[Memoria VRAM]),"GB"," - ",MAX(GPU_Nvidia5210[Memoria VRAM]),"GB")</f>
        <v>GAMA BAIXA: 170€ - 350€, 53W - 130W, 4GB - 8GB</v>
      </c>
      <c r="O2" s="155"/>
      <c r="P2" s="155"/>
      <c r="Q2" s="155"/>
      <c r="R2" s="155"/>
      <c r="S2" s="155"/>
      <c r="T2" s="155"/>
      <c r="U2" s="155"/>
      <c r="V2" s="155"/>
      <c r="W2" s="156"/>
    </row>
    <row r="3" spans="1:23" ht="34.799999999999997" customHeight="1" thickBot="1" x14ac:dyDescent="0.35">
      <c r="C3" s="185" t="s">
        <v>43</v>
      </c>
      <c r="D3" s="185" t="s">
        <v>1</v>
      </c>
      <c r="E3" s="185" t="s">
        <v>53</v>
      </c>
      <c r="F3" s="185" t="s">
        <v>3</v>
      </c>
      <c r="G3" s="185" t="s">
        <v>49</v>
      </c>
      <c r="H3" s="185" t="s">
        <v>52</v>
      </c>
      <c r="I3" s="185" t="s">
        <v>51</v>
      </c>
      <c r="J3" s="185" t="s">
        <v>55</v>
      </c>
      <c r="K3" s="185" t="s">
        <v>10</v>
      </c>
      <c r="L3" s="185" t="s">
        <v>7</v>
      </c>
      <c r="N3" s="60" t="s">
        <v>43</v>
      </c>
      <c r="O3" s="60" t="s">
        <v>52</v>
      </c>
      <c r="P3" s="60" t="s">
        <v>51</v>
      </c>
      <c r="Q3" s="60" t="s">
        <v>1</v>
      </c>
      <c r="R3" s="60" t="s">
        <v>53</v>
      </c>
      <c r="S3" s="60" t="s">
        <v>3</v>
      </c>
      <c r="T3" s="60" t="s">
        <v>49</v>
      </c>
      <c r="U3" s="60" t="s">
        <v>10</v>
      </c>
      <c r="V3" s="60" t="s">
        <v>55</v>
      </c>
      <c r="W3" s="60" t="s">
        <v>7</v>
      </c>
    </row>
    <row r="4" spans="1:23" ht="34.799999999999997" customHeight="1" x14ac:dyDescent="0.3">
      <c r="C4" s="7" t="s">
        <v>18</v>
      </c>
      <c r="D4" s="9">
        <f>VLOOKUP(Recomendador!$C4,GPU[],3,FALSE)</f>
        <v>4</v>
      </c>
      <c r="E4" s="8" t="str">
        <f>VLOOKUP(Recomendador!$C4,GPU[],6,FALSE)</f>
        <v>NO</v>
      </c>
      <c r="F4" s="8" t="str">
        <f>VLOOKUP(Recomendador!$C4,GPU[],5,FALSE)</f>
        <v>NO</v>
      </c>
      <c r="G4" s="23">
        <f>VLOOKUP(Recomendador!$C4,Rendiment[],5,FALSE)</f>
        <v>27</v>
      </c>
      <c r="H4" s="25">
        <f>Recomendador!$L4/Recomendador!$G4</f>
        <v>6.2962962962962967</v>
      </c>
      <c r="I4" s="28">
        <f>Recomendador!$K4/Recomendador!$G4</f>
        <v>1.962962962962963</v>
      </c>
      <c r="J4" s="30">
        <f>10*AVERAGE(Recomendador!$H4:$I4)</f>
        <v>41.296296296296298</v>
      </c>
      <c r="K4" s="10">
        <f>VLOOKUP(Recomendador!$C4,Rendiment[],6,FALSE)</f>
        <v>53</v>
      </c>
      <c r="L4" s="11">
        <f>VLOOKUP(Recomendador!$C4,GPU[],10,FALSE)</f>
        <v>170</v>
      </c>
      <c r="M4" s="148"/>
      <c r="N4" s="61" t="str">
        <f>GPU[[#This Row],[GPU]]</f>
        <v>AMD RX 6400</v>
      </c>
      <c r="O4" s="65">
        <f>GPU_Nvidia5210[[#This Row],[Preu]]/GPU_Nvidia5210[[#This Row],[Rendiment]]</f>
        <v>6.2962962962962967</v>
      </c>
      <c r="P4" s="66">
        <f>GPU_Nvidia5210[[#This Row],[Cosnum]]/GPU_Nvidia5210[[#This Row],[Rendiment]]</f>
        <v>1.962962962962963</v>
      </c>
      <c r="Q4" s="62">
        <f>VLOOKUP(GPU_Nvidia5210[[#This Row],[GPU]],Recomendador!$C$4:$L$30,2,FALSE)</f>
        <v>4</v>
      </c>
      <c r="R4" s="63" t="str">
        <f>VLOOKUP(GPU_Nvidia5210[[#This Row],[GPU]],Recomendador!$C$4:$L$30,3,FALSE)</f>
        <v>NO</v>
      </c>
      <c r="S4" s="63" t="str">
        <f>VLOOKUP(GPU_Nvidia5210[[#This Row],[GPU]],Recomendador!$C$4:$L$30,4,FALSE)</f>
        <v>NO</v>
      </c>
      <c r="T4" s="64">
        <f>VLOOKUP(GPU_Nvidia5210[[#This Row],[GPU]],Recomendador!$C$4:$L$30,5,FALSE)</f>
        <v>27</v>
      </c>
      <c r="U4" s="67">
        <f>VLOOKUP(GPU_Nvidia5210[[#This Row],[GPU]],Recomendador!$C$4:$L$30,9,FALSE)</f>
        <v>53</v>
      </c>
      <c r="V4" s="68">
        <f>INT(GPU_Nvidia5210[[#This Row],[W/FPS]]+GPU_Nvidia5210[[#This Row],[€/FPS]])/2*10</f>
        <v>40</v>
      </c>
      <c r="W4" s="69">
        <f>VLOOKUP(GPU_Nvidia5210[[#This Row],[GPU]],Recomendador!$C$4:$L$30,10,FALSE)</f>
        <v>170</v>
      </c>
    </row>
    <row r="5" spans="1:23" ht="34.799999999999997" customHeight="1" x14ac:dyDescent="0.3">
      <c r="A5" s="3" t="s">
        <v>61</v>
      </c>
      <c r="C5" s="184" t="s">
        <v>19</v>
      </c>
      <c r="D5" s="176">
        <f>VLOOKUP(Recomendador!$C5,GPU[],3,FALSE)</f>
        <v>4</v>
      </c>
      <c r="E5" s="177" t="str">
        <f>VLOOKUP(Recomendador!$C5,GPU[],6,FALSE)</f>
        <v>NO</v>
      </c>
      <c r="F5" s="177" t="str">
        <f>VLOOKUP(Recomendador!$C5,GPU[],5,FALSE)</f>
        <v>NO</v>
      </c>
      <c r="G5" s="178">
        <f>VLOOKUP(Recomendador!$C5,Rendiment[],5,FALSE)</f>
        <v>36</v>
      </c>
      <c r="H5" s="179">
        <f>Recomendador!$L5/Recomendador!$G5</f>
        <v>5.2777777777777777</v>
      </c>
      <c r="I5" s="180">
        <f>Recomendador!$K5/Recomendador!$G5</f>
        <v>2.9166666666666665</v>
      </c>
      <c r="J5" s="181">
        <f>10*AVERAGE(Recomendador!$H5:$I5)</f>
        <v>40.972222222222221</v>
      </c>
      <c r="K5" s="182">
        <f>VLOOKUP(Recomendador!$C5,Rendiment[],6,FALSE)</f>
        <v>105</v>
      </c>
      <c r="L5" s="183">
        <f>VLOOKUP(Recomendador!$C5,GPU[],10,FALSE)</f>
        <v>190</v>
      </c>
      <c r="M5" s="148"/>
      <c r="N5" s="70" t="s">
        <v>19</v>
      </c>
      <c r="O5" s="74">
        <f>GPU_Nvidia5210[[#This Row],[Preu]]/GPU_Nvidia5210[[#This Row],[Rendiment]]</f>
        <v>5.2777777777777777</v>
      </c>
      <c r="P5" s="75">
        <f>GPU_Nvidia5210[[#This Row],[Cosnum]]/GPU_Nvidia5210[[#This Row],[Rendiment]]</f>
        <v>2.9166666666666665</v>
      </c>
      <c r="Q5" s="71">
        <f>VLOOKUP(GPU_Nvidia5210[[#This Row],[GPU]],Recomendador!$C$4:$L$30,2,FALSE)</f>
        <v>4</v>
      </c>
      <c r="R5" s="72" t="str">
        <f>VLOOKUP(GPU_Nvidia5210[[#This Row],[GPU]],Recomendador!$C$4:$L$30,3,FALSE)</f>
        <v>NO</v>
      </c>
      <c r="S5" s="72" t="str">
        <f>VLOOKUP(GPU_Nvidia5210[[#This Row],[GPU]],Recomendador!$C$4:$L$30,4,FALSE)</f>
        <v>NO</v>
      </c>
      <c r="T5" s="73">
        <f>VLOOKUP(GPU_Nvidia5210[[#This Row],[GPU]],Recomendador!$C$4:$L$30,5,FALSE)</f>
        <v>36</v>
      </c>
      <c r="U5" s="76">
        <f>VLOOKUP(GPU_Nvidia5210[[#This Row],[GPU]],Recomendador!$C$4:$L$30,9,FALSE)</f>
        <v>105</v>
      </c>
      <c r="V5" s="77">
        <f>INT(GPU_Nvidia5210[[#This Row],[W/FPS]]+GPU_Nvidia5210[[#This Row],[€/FPS]])/2*10</f>
        <v>40</v>
      </c>
      <c r="W5" s="78">
        <f>VLOOKUP(GPU_Nvidia5210[[#This Row],[GPU]],Recomendador!$C$4:$L$30,10,FALSE)</f>
        <v>190</v>
      </c>
    </row>
    <row r="6" spans="1:23" ht="34.799999999999997" customHeight="1" x14ac:dyDescent="0.3">
      <c r="C6" s="12" t="s">
        <v>20</v>
      </c>
      <c r="D6" s="14">
        <f>VLOOKUP(Recomendador!$C6,GPU[],3,FALSE)</f>
        <v>8</v>
      </c>
      <c r="E6" s="13" t="str">
        <f>VLOOKUP(Recomendador!$C6,GPU[],6,FALSE)</f>
        <v>NO</v>
      </c>
      <c r="F6" s="13" t="str">
        <f>VLOOKUP(Recomendador!$C6,GPU[],5,FALSE)</f>
        <v>NO</v>
      </c>
      <c r="G6" s="24">
        <f>VLOOKUP(Recomendador!$C6,Rendiment[],5,FALSE)</f>
        <v>37</v>
      </c>
      <c r="H6" s="26">
        <f>Recomendador!$L6/Recomendador!$G6</f>
        <v>7.0270270270270272</v>
      </c>
      <c r="I6" s="29">
        <f>Recomendador!$K6/Recomendador!$G6</f>
        <v>3.2432432432432434</v>
      </c>
      <c r="J6" s="31">
        <f>10*AVERAGE(Recomendador!$H6:$I6)</f>
        <v>51.351351351351354</v>
      </c>
      <c r="K6" s="15">
        <f>VLOOKUP(Recomendador!$C6,Rendiment[],6,FALSE)</f>
        <v>120</v>
      </c>
      <c r="L6" s="16">
        <f>VLOOKUP(Recomendador!$C6,GPU[],10,FALSE)</f>
        <v>260</v>
      </c>
      <c r="M6" s="148"/>
      <c r="N6" s="70" t="s">
        <v>20</v>
      </c>
      <c r="O6" s="74">
        <f>GPU_Nvidia5210[[#This Row],[Preu]]/GPU_Nvidia5210[[#This Row],[Rendiment]]</f>
        <v>7.0270270270270272</v>
      </c>
      <c r="P6" s="75">
        <f>GPU_Nvidia5210[[#This Row],[Cosnum]]/GPU_Nvidia5210[[#This Row],[Rendiment]]</f>
        <v>3.2432432432432434</v>
      </c>
      <c r="Q6" s="71">
        <f>VLOOKUP(GPU_Nvidia5210[[#This Row],[GPU]],Recomendador!$C$4:$L$30,2,FALSE)</f>
        <v>8</v>
      </c>
      <c r="R6" s="72" t="str">
        <f>VLOOKUP(GPU_Nvidia5210[[#This Row],[GPU]],Recomendador!$C$4:$L$30,3,FALSE)</f>
        <v>NO</v>
      </c>
      <c r="S6" s="72" t="str">
        <f>VLOOKUP(GPU_Nvidia5210[[#This Row],[GPU]],Recomendador!$C$4:$L$30,4,FALSE)</f>
        <v>NO</v>
      </c>
      <c r="T6" s="73">
        <f>VLOOKUP(GPU_Nvidia5210[[#This Row],[GPU]],Recomendador!$C$4:$L$30,5,FALSE)</f>
        <v>37</v>
      </c>
      <c r="U6" s="76">
        <f>VLOOKUP(GPU_Nvidia5210[[#This Row],[GPU]],Recomendador!$C$4:$L$30,9,FALSE)</f>
        <v>120</v>
      </c>
      <c r="V6" s="77">
        <f>INT(GPU_Nvidia5210[[#This Row],[W/FPS]]+GPU_Nvidia5210[[#This Row],[€/FPS]])/2*10</f>
        <v>50</v>
      </c>
      <c r="W6" s="78">
        <f>VLOOKUP(GPU_Nvidia5210[[#This Row],[GPU]],Recomendador!$C$4:$L$30,10,FALSE)</f>
        <v>260</v>
      </c>
    </row>
    <row r="7" spans="1:23" ht="34.799999999999997" customHeight="1" x14ac:dyDescent="0.3">
      <c r="C7" s="184" t="s">
        <v>21</v>
      </c>
      <c r="D7" s="176">
        <f>VLOOKUP(Recomendador!$C7,GPU[],3,FALSE)</f>
        <v>8</v>
      </c>
      <c r="E7" s="177" t="str">
        <f>VLOOKUP(Recomendador!$C7,GPU[],6,FALSE)</f>
        <v>NO</v>
      </c>
      <c r="F7" s="177" t="str">
        <f>VLOOKUP(Recomendador!$C7,GPU[],5,FALSE)</f>
        <v>NO</v>
      </c>
      <c r="G7" s="178">
        <f>VLOOKUP(Recomendador!$C7,Rendiment[],5,FALSE)</f>
        <v>48</v>
      </c>
      <c r="H7" s="179">
        <f>Recomendador!$L7/Recomendador!$G7</f>
        <v>6.666666666666667</v>
      </c>
      <c r="I7" s="180">
        <f>Recomendador!$K7/Recomendador!$G7</f>
        <v>3.3333333333333335</v>
      </c>
      <c r="J7" s="181">
        <f>10*AVERAGE(Recomendador!$H7:$I7)</f>
        <v>50</v>
      </c>
      <c r="K7" s="182">
        <f>VLOOKUP(Recomendador!$C7,Rendiment[],6,FALSE)</f>
        <v>160</v>
      </c>
      <c r="L7" s="183">
        <f>VLOOKUP(Recomendador!$C7,GPU[],10,FALSE)</f>
        <v>320</v>
      </c>
      <c r="M7" s="148"/>
      <c r="N7" s="70" t="s">
        <v>30</v>
      </c>
      <c r="O7" s="74">
        <f>GPU_Nvidia5210[[#This Row],[Preu]]/GPU_Nvidia5210[[#This Row],[Rendiment]]</f>
        <v>6.5555555555555554</v>
      </c>
      <c r="P7" s="75">
        <f>GPU_Nvidia5210[[#This Row],[Cosnum]]/GPU_Nvidia5210[[#This Row],[Rendiment]]</f>
        <v>3.7037037037037037</v>
      </c>
      <c r="Q7" s="71">
        <f>VLOOKUP(GPU_Nvidia5210[[#This Row],[GPU]],Recomendador!$C$4:$L$30,2,FALSE)</f>
        <v>4</v>
      </c>
      <c r="R7" s="72" t="str">
        <f>VLOOKUP(GPU_Nvidia5210[[#This Row],[GPU]],Recomendador!$C$4:$L$30,3,FALSE)</f>
        <v>NO</v>
      </c>
      <c r="S7" s="72" t="str">
        <f>VLOOKUP(GPU_Nvidia5210[[#This Row],[GPU]],Recomendador!$C$4:$L$30,4,FALSE)</f>
        <v>NO</v>
      </c>
      <c r="T7" s="73">
        <f>VLOOKUP(GPU_Nvidia5210[[#This Row],[GPU]],Recomendador!$C$4:$L$30,5,FALSE)</f>
        <v>27</v>
      </c>
      <c r="U7" s="76">
        <f>VLOOKUP(GPU_Nvidia5210[[#This Row],[GPU]],Recomendador!$C$4:$L$30,9,FALSE)</f>
        <v>100</v>
      </c>
      <c r="V7" s="77">
        <f>INT(GPU_Nvidia5210[[#This Row],[W/FPS]]+GPU_Nvidia5210[[#This Row],[€/FPS]])/2*10</f>
        <v>50</v>
      </c>
      <c r="W7" s="78">
        <f>VLOOKUP(GPU_Nvidia5210[[#This Row],[GPU]],Recomendador!$C$4:$L$30,10,FALSE)</f>
        <v>177</v>
      </c>
    </row>
    <row r="8" spans="1:23" ht="34.799999999999997" customHeight="1" x14ac:dyDescent="0.3">
      <c r="C8" s="12" t="s">
        <v>22</v>
      </c>
      <c r="D8" s="14">
        <f>VLOOKUP(Recomendador!$C8,GPU[],3,FALSE)</f>
        <v>8</v>
      </c>
      <c r="E8" s="13" t="str">
        <f>VLOOKUP(Recomendador!$C8,GPU[],6,FALSE)</f>
        <v>NO</v>
      </c>
      <c r="F8" s="13" t="str">
        <f>VLOOKUP(Recomendador!$C8,GPU[],5,FALSE)</f>
        <v>NO</v>
      </c>
      <c r="G8" s="24">
        <f>VLOOKUP(Recomendador!$C8,Rendiment[],5,FALSE)</f>
        <v>56</v>
      </c>
      <c r="H8" s="26">
        <f>Recomendador!$L8/Recomendador!$G8</f>
        <v>6.7857142857142856</v>
      </c>
      <c r="I8" s="29">
        <f>Recomendador!$K8/Recomendador!$G8</f>
        <v>3.2142857142857144</v>
      </c>
      <c r="J8" s="31">
        <f>10*AVERAGE(Recomendador!$H8:$I8)</f>
        <v>50</v>
      </c>
      <c r="K8" s="15">
        <f>VLOOKUP(Recomendador!$C8,Rendiment[],6,FALSE)</f>
        <v>180</v>
      </c>
      <c r="L8" s="16">
        <f>VLOOKUP(Recomendador!$C8,GPU[],10,FALSE)</f>
        <v>380</v>
      </c>
      <c r="M8" s="148"/>
      <c r="N8" s="70" t="s">
        <v>31</v>
      </c>
      <c r="O8" s="74">
        <f>GPU_Nvidia5210[[#This Row],[Preu]]/GPU_Nvidia5210[[#This Row],[Rendiment]]</f>
        <v>8.25</v>
      </c>
      <c r="P8" s="75">
        <f>GPU_Nvidia5210[[#This Row],[Cosnum]]/GPU_Nvidia5210[[#This Row],[Rendiment]]</f>
        <v>3</v>
      </c>
      <c r="Q8" s="71">
        <f>VLOOKUP(GPU_Nvidia5210[[#This Row],[GPU]],Recomendador!$C$4:$L$30,2,FALSE)</f>
        <v>6</v>
      </c>
      <c r="R8" s="72" t="str">
        <f>VLOOKUP(GPU_Nvidia5210[[#This Row],[GPU]],Recomendador!$C$4:$L$30,3,FALSE)</f>
        <v>NO</v>
      </c>
      <c r="S8" s="72" t="str">
        <f>VLOOKUP(GPU_Nvidia5210[[#This Row],[GPU]],Recomendador!$C$4:$L$30,4,FALSE)</f>
        <v>NO</v>
      </c>
      <c r="T8" s="73">
        <f>VLOOKUP(GPU_Nvidia5210[[#This Row],[GPU]],Recomendador!$C$4:$L$30,5,FALSE)</f>
        <v>40</v>
      </c>
      <c r="U8" s="76">
        <f>VLOOKUP(GPU_Nvidia5210[[#This Row],[GPU]],Recomendador!$C$4:$L$30,9,FALSE)</f>
        <v>120</v>
      </c>
      <c r="V8" s="77">
        <f>INT(GPU_Nvidia5210[[#This Row],[W/FPS]]+GPU_Nvidia5210[[#This Row],[€/FPS]])/2*10</f>
        <v>55</v>
      </c>
      <c r="W8" s="78">
        <f>VLOOKUP(GPU_Nvidia5210[[#This Row],[GPU]],Recomendador!$C$4:$L$30,10,FALSE)</f>
        <v>330</v>
      </c>
    </row>
    <row r="9" spans="1:23" ht="34.799999999999997" customHeight="1" thickBot="1" x14ac:dyDescent="0.35">
      <c r="C9" s="184" t="s">
        <v>23</v>
      </c>
      <c r="D9" s="176">
        <f>VLOOKUP(Recomendador!$C9,GPU[],3,FALSE)</f>
        <v>10</v>
      </c>
      <c r="E9" s="177" t="str">
        <f>VLOOKUP(Recomendador!$C9,GPU[],6,FALSE)</f>
        <v>NO</v>
      </c>
      <c r="F9" s="177" t="str">
        <f>VLOOKUP(Recomendador!$C9,GPU[],5,FALSE)</f>
        <v>SI</v>
      </c>
      <c r="G9" s="178">
        <f>VLOOKUP(Recomendador!$C9,Rendiment[],5,FALSE)</f>
        <v>64</v>
      </c>
      <c r="H9" s="179">
        <f>Recomendador!$L9/Recomendador!$G9</f>
        <v>5.390625</v>
      </c>
      <c r="I9" s="180">
        <f>Recomendador!$K9/Recomendador!$G9</f>
        <v>2.734375</v>
      </c>
      <c r="J9" s="181">
        <f>10*AVERAGE(Recomendador!$H9:$I9)</f>
        <v>40.625</v>
      </c>
      <c r="K9" s="182">
        <f>VLOOKUP(Recomendador!$C9,Rendiment[],6,FALSE)</f>
        <v>175</v>
      </c>
      <c r="L9" s="183">
        <f>VLOOKUP(Recomendador!$C9,GPU[],10,FALSE)</f>
        <v>345</v>
      </c>
      <c r="M9" s="148"/>
      <c r="N9" s="79" t="s">
        <v>32</v>
      </c>
      <c r="O9" s="83">
        <f>GPU_Nvidia5210[[#This Row],[Preu]]/GPU_Nvidia5210[[#This Row],[Rendiment]]</f>
        <v>9.4594594594594597</v>
      </c>
      <c r="P9" s="84">
        <f>GPU_Nvidia5210[[#This Row],[Cosnum]]/GPU_Nvidia5210[[#This Row],[Rendiment]]</f>
        <v>3.5135135135135136</v>
      </c>
      <c r="Q9" s="80">
        <f>VLOOKUP(GPU_Nvidia5210[[#This Row],[GPU]],Recomendador!$C$4:$L$30,2,FALSE)</f>
        <v>8</v>
      </c>
      <c r="R9" s="81" t="str">
        <f>VLOOKUP(GPU_Nvidia5210[[#This Row],[GPU]],Recomendador!$C$4:$L$30,3,FALSE)</f>
        <v>SI</v>
      </c>
      <c r="S9" s="81" t="str">
        <f>VLOOKUP(GPU_Nvidia5210[[#This Row],[GPU]],Recomendador!$C$4:$L$30,4,FALSE)</f>
        <v>SI</v>
      </c>
      <c r="T9" s="82">
        <f>VLOOKUP(GPU_Nvidia5210[[#This Row],[GPU]],Recomendador!$C$4:$L$30,5,FALSE)</f>
        <v>37</v>
      </c>
      <c r="U9" s="85">
        <f>VLOOKUP(GPU_Nvidia5210[[#This Row],[GPU]],Recomendador!$C$4:$L$30,9,FALSE)</f>
        <v>130</v>
      </c>
      <c r="V9" s="86">
        <f>INT(GPU_Nvidia5210[[#This Row],[W/FPS]]+GPU_Nvidia5210[[#This Row],[€/FPS]])/2*10</f>
        <v>60</v>
      </c>
      <c r="W9" s="87">
        <f>VLOOKUP(GPU_Nvidia5210[[#This Row],[GPU]],Recomendador!$C$4:$L$30,10,FALSE)</f>
        <v>350</v>
      </c>
    </row>
    <row r="10" spans="1:23" ht="34.799999999999997" customHeight="1" x14ac:dyDescent="0.3">
      <c r="C10" s="12" t="s">
        <v>24</v>
      </c>
      <c r="D10" s="14">
        <f>VLOOKUP(Recomendador!$C10,GPU[],3,FALSE)</f>
        <v>12</v>
      </c>
      <c r="E10" s="13" t="str">
        <f>VLOOKUP(Recomendador!$C10,GPU[],6,FALSE)</f>
        <v>NO</v>
      </c>
      <c r="F10" s="13" t="str">
        <f>VLOOKUP(Recomendador!$C10,GPU[],5,FALSE)</f>
        <v>SI</v>
      </c>
      <c r="G10" s="24">
        <f>VLOOKUP(Recomendador!$C10,Rendiment[],5,FALSE)</f>
        <v>73</v>
      </c>
      <c r="H10" s="26">
        <f>Recomendador!$L10/Recomendador!$G10</f>
        <v>5.7534246575342465</v>
      </c>
      <c r="I10" s="29">
        <f>Recomendador!$K10/Recomendador!$G10</f>
        <v>2.8767123287671232</v>
      </c>
      <c r="J10" s="31">
        <f>10*AVERAGE(Recomendador!$H10:$I10)</f>
        <v>43.150684931506845</v>
      </c>
      <c r="K10" s="15">
        <f>VLOOKUP(Recomendador!$C10,Rendiment[],6,FALSE)</f>
        <v>210</v>
      </c>
      <c r="L10" s="16">
        <f>VLOOKUP(Recomendador!$C10,GPU[],10,FALSE)</f>
        <v>420</v>
      </c>
      <c r="M10" s="148"/>
    </row>
    <row r="11" spans="1:23" ht="34.799999999999997" customHeight="1" thickBot="1" x14ac:dyDescent="0.35">
      <c r="C11" s="184" t="s">
        <v>25</v>
      </c>
      <c r="D11" s="176">
        <f>VLOOKUP(Recomendador!$C11,GPU[],3,FALSE)</f>
        <v>12</v>
      </c>
      <c r="E11" s="177" t="str">
        <f>VLOOKUP(Recomendador!$C11,GPU[],6,FALSE)</f>
        <v>NO</v>
      </c>
      <c r="F11" s="177" t="str">
        <f>VLOOKUP(Recomendador!$C11,GPU[],5,FALSE)</f>
        <v>SI</v>
      </c>
      <c r="G11" s="178">
        <f>VLOOKUP(Recomendador!$C11,Rendiment[],5,FALSE)</f>
        <v>90</v>
      </c>
      <c r="H11" s="179">
        <f>Recomendador!$L11/Recomendador!$G11</f>
        <v>5.2222222222222223</v>
      </c>
      <c r="I11" s="180">
        <f>Recomendador!$K11/Recomendador!$G11</f>
        <v>2.7777777777777777</v>
      </c>
      <c r="J11" s="181">
        <f>10*AVERAGE(Recomendador!$H11:$I11)</f>
        <v>40</v>
      </c>
      <c r="K11" s="182">
        <f>VLOOKUP(Recomendador!$C11,Rendiment[],6,FALSE)</f>
        <v>250</v>
      </c>
      <c r="L11" s="183">
        <f>VLOOKUP(Recomendador!$C11,GPU[],10,FALSE)</f>
        <v>470</v>
      </c>
      <c r="M11" s="148"/>
      <c r="N11" s="174" t="str">
        <f>_xlfn.CONCAT("GAMA MITJA: ",MIN(GPU_Nvidia5611[Preu]),"€"," - ",MAX(GPU_Nvidia5611[Preu]),"€, ",MIN(GPU_Nvidia5611[Cosnum]),"W"," - ",MAX(GPU_Nvidia5611[Cosnum]),"W, ", MIN(GPU_Nvidia5611[Memoria VRAM]),"GB"," - ",MAX(GPU_Nvidia5611[Memoria VRAM]),"GB")</f>
        <v>GAMA MITJA: 320€ - 420€, 130W - 210W, 8GB - 12GB</v>
      </c>
      <c r="O11" s="175"/>
      <c r="P11" s="175"/>
      <c r="Q11" s="175"/>
      <c r="R11" s="175"/>
      <c r="S11" s="175"/>
      <c r="T11" s="175"/>
      <c r="U11" s="175"/>
      <c r="V11" s="175"/>
      <c r="W11" s="175"/>
    </row>
    <row r="12" spans="1:23" ht="34.799999999999997" customHeight="1" thickBot="1" x14ac:dyDescent="0.35">
      <c r="C12" s="12" t="s">
        <v>26</v>
      </c>
      <c r="D12" s="14">
        <f>VLOOKUP(Recomendador!$C12,GPU[],3,FALSE)</f>
        <v>16</v>
      </c>
      <c r="E12" s="13" t="str">
        <f>VLOOKUP(Recomendador!$C12,GPU[],6,FALSE)</f>
        <v>NO</v>
      </c>
      <c r="F12" s="13" t="str">
        <f>VLOOKUP(Recomendador!$C12,GPU[],5,FALSE)</f>
        <v>SI</v>
      </c>
      <c r="G12" s="24">
        <f>VLOOKUP(Recomendador!$C12,Rendiment[],5,FALSE)</f>
        <v>101</v>
      </c>
      <c r="H12" s="26">
        <f>Recomendador!$L12/Recomendador!$G12</f>
        <v>5.4455445544554459</v>
      </c>
      <c r="I12" s="29">
        <f>Recomendador!$K12/Recomendador!$G12</f>
        <v>2.7722772277227721</v>
      </c>
      <c r="J12" s="31">
        <f>10*AVERAGE(Recomendador!$H12:$I12)</f>
        <v>41.089108910891092</v>
      </c>
      <c r="K12" s="15">
        <f>VLOOKUP(Recomendador!$C12,Rendiment[],6,FALSE)</f>
        <v>280</v>
      </c>
      <c r="L12" s="16">
        <f>VLOOKUP(Recomendador!$C12,GPU[],10,FALSE)</f>
        <v>550</v>
      </c>
      <c r="M12" s="148"/>
      <c r="N12" s="2" t="s">
        <v>43</v>
      </c>
      <c r="O12" s="2" t="s">
        <v>52</v>
      </c>
      <c r="P12" s="2" t="s">
        <v>51</v>
      </c>
      <c r="Q12" s="2" t="s">
        <v>1</v>
      </c>
      <c r="R12" s="2" t="s">
        <v>53</v>
      </c>
      <c r="S12" s="2" t="s">
        <v>3</v>
      </c>
      <c r="T12" s="2" t="s">
        <v>49</v>
      </c>
      <c r="U12" s="2" t="s">
        <v>10</v>
      </c>
      <c r="V12" s="2" t="s">
        <v>55</v>
      </c>
      <c r="W12" s="2" t="s">
        <v>7</v>
      </c>
    </row>
    <row r="13" spans="1:23" ht="34.799999999999997" customHeight="1" x14ac:dyDescent="0.3">
      <c r="C13" s="184" t="s">
        <v>27</v>
      </c>
      <c r="D13" s="176">
        <f>VLOOKUP(Recomendador!$C13,GPU[],3,FALSE)</f>
        <v>16</v>
      </c>
      <c r="E13" s="177" t="str">
        <f>VLOOKUP(Recomendador!$C13,GPU[],6,FALSE)</f>
        <v>NO</v>
      </c>
      <c r="F13" s="177" t="str">
        <f>VLOOKUP(Recomendador!$C13,GPU[],5,FALSE)</f>
        <v>SI</v>
      </c>
      <c r="G13" s="178">
        <f>VLOOKUP(Recomendador!$C13,Rendiment[],5,FALSE)</f>
        <v>110</v>
      </c>
      <c r="H13" s="179">
        <f>Recomendador!$L13/Recomendador!$G13</f>
        <v>6.1818181818181817</v>
      </c>
      <c r="I13" s="180">
        <f>Recomendador!$K13/Recomendador!$G13</f>
        <v>2.7272727272727271</v>
      </c>
      <c r="J13" s="181">
        <f>10*AVERAGE(Recomendador!$H13:$I13)</f>
        <v>44.54545454545454</v>
      </c>
      <c r="K13" s="182">
        <f>VLOOKUP(Recomendador!$C13,Rendiment[],6,FALSE)</f>
        <v>300</v>
      </c>
      <c r="L13" s="183">
        <f>VLOOKUP(Recomendador!$C13,GPU[],10,FALSE)</f>
        <v>680</v>
      </c>
      <c r="M13" s="148"/>
      <c r="N13" s="12" t="s">
        <v>21</v>
      </c>
      <c r="O13" s="26">
        <f>GPU_Nvidia5611[[#This Row],[Preu]]/GPU_Nvidia5611[[#This Row],[Rendiment]]</f>
        <v>6.666666666666667</v>
      </c>
      <c r="P13" s="29">
        <f>GPU_Nvidia5611[[#This Row],[Cosnum]]/GPU_Nvidia5611[[#This Row],[Rendiment]]</f>
        <v>3.3333333333333335</v>
      </c>
      <c r="Q13" s="14">
        <f>VLOOKUP(GPU_Nvidia5611[[#This Row],[GPU]],Recomendador!$C$4:$L$30,2,FALSE)</f>
        <v>8</v>
      </c>
      <c r="R13" s="13" t="str">
        <f>VLOOKUP(GPU_Nvidia5611[[#This Row],[GPU]],Recomendador!$C$4:$L$30,3,FALSE)</f>
        <v>NO</v>
      </c>
      <c r="S13" s="13" t="str">
        <f>VLOOKUP(GPU_Nvidia5611[[#This Row],[GPU]],Recomendador!$C$4:$L$30,4,FALSE)</f>
        <v>NO</v>
      </c>
      <c r="T13" s="24">
        <f>VLOOKUP(GPU_Nvidia5611[[#This Row],[GPU]],Recomendador!$C$4:$L$30,5,FALSE)</f>
        <v>48</v>
      </c>
      <c r="U13" s="15">
        <f>VLOOKUP(GPU_Nvidia5611[[#This Row],[GPU]],Recomendador!$C$4:$L$30,9,FALSE)</f>
        <v>160</v>
      </c>
      <c r="V13" s="33">
        <f>(GPU_Nvidia5611[[#This Row],[W/FPS]]+GPU_Nvidia5611[[#This Row],[€/FPS]])/2*10</f>
        <v>50</v>
      </c>
      <c r="W13" s="16">
        <f>VLOOKUP(GPU_Nvidia5611[[#This Row],[GPU]],Recomendador!$C$4:$L$30,10,FALSE)</f>
        <v>320</v>
      </c>
    </row>
    <row r="14" spans="1:23" ht="34.799999999999997" customHeight="1" x14ac:dyDescent="0.3">
      <c r="C14" s="12" t="s">
        <v>28</v>
      </c>
      <c r="D14" s="14">
        <f>VLOOKUP(Recomendador!$C14,GPU[],3,FALSE)</f>
        <v>16</v>
      </c>
      <c r="E14" s="13" t="str">
        <f>VLOOKUP(Recomendador!$C14,GPU[],6,FALSE)</f>
        <v>NO</v>
      </c>
      <c r="F14" s="13" t="str">
        <f>VLOOKUP(Recomendador!$C14,GPU[],5,FALSE)</f>
        <v>SI</v>
      </c>
      <c r="G14" s="24">
        <f>VLOOKUP(Recomendador!$C14,Rendiment[],5,FALSE)</f>
        <v>126</v>
      </c>
      <c r="H14" s="26">
        <f>Recomendador!$L14/Recomendador!$G14</f>
        <v>7.1428571428571432</v>
      </c>
      <c r="I14" s="29">
        <f>Recomendador!$K14/Recomendador!$G14</f>
        <v>2.5555555555555554</v>
      </c>
      <c r="J14" s="31">
        <f>10*AVERAGE(Recomendador!$H14:$I14)</f>
        <v>48.492063492063494</v>
      </c>
      <c r="K14" s="15">
        <f>VLOOKUP(Recomendador!$C14,Rendiment[],6,FALSE)</f>
        <v>322</v>
      </c>
      <c r="L14" s="16">
        <f>VLOOKUP(Recomendador!$C14,GPU[],10,FALSE)</f>
        <v>900</v>
      </c>
      <c r="M14" s="148"/>
      <c r="N14" s="12" t="s">
        <v>22</v>
      </c>
      <c r="O14" s="26">
        <f>GPU_Nvidia5611[[#This Row],[Preu]]/GPU_Nvidia5611[[#This Row],[Rendiment]]</f>
        <v>6.7857142857142856</v>
      </c>
      <c r="P14" s="29">
        <f>GPU_Nvidia5611[[#This Row],[Cosnum]]/GPU_Nvidia5611[[#This Row],[Rendiment]]</f>
        <v>3.2142857142857144</v>
      </c>
      <c r="Q14" s="14">
        <f>VLOOKUP(GPU_Nvidia5611[[#This Row],[GPU]],Recomendador!$C$4:$L$30,2,FALSE)</f>
        <v>8</v>
      </c>
      <c r="R14" s="13" t="str">
        <f>VLOOKUP(GPU_Nvidia5611[[#This Row],[GPU]],Recomendador!$C$4:$L$30,3,FALSE)</f>
        <v>NO</v>
      </c>
      <c r="S14" s="13" t="str">
        <f>VLOOKUP(GPU_Nvidia5611[[#This Row],[GPU]],Recomendador!$C$4:$L$30,4,FALSE)</f>
        <v>NO</v>
      </c>
      <c r="T14" s="24">
        <f>VLOOKUP(GPU_Nvidia5611[[#This Row],[GPU]],Recomendador!$C$4:$L$30,5,FALSE)</f>
        <v>56</v>
      </c>
      <c r="U14" s="15">
        <f>VLOOKUP(GPU_Nvidia5611[[#This Row],[GPU]],Recomendador!$C$4:$L$30,9,FALSE)</f>
        <v>180</v>
      </c>
      <c r="V14" s="33">
        <f>(GPU_Nvidia5611[[#This Row],[W/FPS]]+GPU_Nvidia5611[[#This Row],[€/FPS]])/2*10</f>
        <v>50</v>
      </c>
      <c r="W14" s="16">
        <f>VLOOKUP(GPU_Nvidia5611[[#This Row],[GPU]],Recomendador!$C$4:$L$30,10,FALSE)</f>
        <v>380</v>
      </c>
    </row>
    <row r="15" spans="1:23" ht="34.799999999999997" customHeight="1" x14ac:dyDescent="0.3">
      <c r="C15" s="184" t="s">
        <v>29</v>
      </c>
      <c r="D15" s="176">
        <f>VLOOKUP(Recomendador!$C15,GPU[],3,FALSE)</f>
        <v>16</v>
      </c>
      <c r="E15" s="177" t="str">
        <f>VLOOKUP(Recomendador!$C15,GPU[],6,FALSE)</f>
        <v>NO</v>
      </c>
      <c r="F15" s="177" t="str">
        <f>VLOOKUP(Recomendador!$C15,GPU[],5,FALSE)</f>
        <v>SI</v>
      </c>
      <c r="G15" s="178">
        <f>VLOOKUP(Recomendador!$C15,Rendiment[],5,FALSE)</f>
        <v>145</v>
      </c>
      <c r="H15" s="179">
        <f>Recomendador!$L15/Recomendador!$G15</f>
        <v>7.4482758620689653</v>
      </c>
      <c r="I15" s="180">
        <f>Recomendador!$K15/Recomendador!$G15</f>
        <v>2.4137931034482758</v>
      </c>
      <c r="J15" s="181">
        <f>10*AVERAGE(Recomendador!$H15:$I15)</f>
        <v>49.310344827586206</v>
      </c>
      <c r="K15" s="182">
        <f>VLOOKUP(Recomendador!$C15,Rendiment[],6,FALSE)</f>
        <v>350</v>
      </c>
      <c r="L15" s="183">
        <f>VLOOKUP(Recomendador!$C15,GPU[],10,FALSE)</f>
        <v>1080</v>
      </c>
      <c r="M15" s="148"/>
      <c r="N15" s="12" t="s">
        <v>23</v>
      </c>
      <c r="O15" s="26">
        <f>GPU_Nvidia5611[[#This Row],[Preu]]/GPU_Nvidia5611[[#This Row],[Rendiment]]</f>
        <v>5.390625</v>
      </c>
      <c r="P15" s="29">
        <f>GPU_Nvidia5611[[#This Row],[Cosnum]]/GPU_Nvidia5611[[#This Row],[Rendiment]]</f>
        <v>2.734375</v>
      </c>
      <c r="Q15" s="14">
        <f>VLOOKUP(GPU_Nvidia5611[[#This Row],[GPU]],Recomendador!$C$4:$L$30,2,FALSE)</f>
        <v>10</v>
      </c>
      <c r="R15" s="13" t="str">
        <f>VLOOKUP(GPU_Nvidia5611[[#This Row],[GPU]],Recomendador!$C$4:$L$30,3,FALSE)</f>
        <v>NO</v>
      </c>
      <c r="S15" s="13" t="str">
        <f>VLOOKUP(GPU_Nvidia5611[[#This Row],[GPU]],Recomendador!$C$4:$L$30,4,FALSE)</f>
        <v>SI</v>
      </c>
      <c r="T15" s="24">
        <f>VLOOKUP(GPU_Nvidia5611[[#This Row],[GPU]],Recomendador!$C$4:$L$30,5,FALSE)</f>
        <v>64</v>
      </c>
      <c r="U15" s="15">
        <f>VLOOKUP(GPU_Nvidia5611[[#This Row],[GPU]],Recomendador!$C$4:$L$30,9,FALSE)</f>
        <v>175</v>
      </c>
      <c r="V15" s="33">
        <f>(GPU_Nvidia5611[[#This Row],[W/FPS]]+GPU_Nvidia5611[[#This Row],[€/FPS]])/2*10</f>
        <v>40.625</v>
      </c>
      <c r="W15" s="16">
        <f>VLOOKUP(GPU_Nvidia5611[[#This Row],[GPU]],Recomendador!$C$4:$L$30,10,FALSE)</f>
        <v>345</v>
      </c>
    </row>
    <row r="16" spans="1:23" ht="34.799999999999997" customHeight="1" x14ac:dyDescent="0.3">
      <c r="C16" s="12" t="s">
        <v>47</v>
      </c>
      <c r="D16" s="14">
        <f>VLOOKUP(Recomendador!$C16,GPU[],3,FALSE)</f>
        <v>20</v>
      </c>
      <c r="E16" s="13" t="str">
        <f>VLOOKUP(Recomendador!$C16,GPU[],6,FALSE)</f>
        <v>NO</v>
      </c>
      <c r="F16" s="13" t="str">
        <f>VLOOKUP(Recomendador!$C16,GPU[],5,FALSE)</f>
        <v>SI</v>
      </c>
      <c r="G16" s="24">
        <f>VLOOKUP(Recomendador!$C16,Rendiment[],5,FALSE)</f>
        <v>155</v>
      </c>
      <c r="H16" s="26">
        <f>Recomendador!$L16/Recomendador!$G16</f>
        <v>6.7677419354838708</v>
      </c>
      <c r="I16" s="29">
        <f>Recomendador!$K16/Recomendador!$G16</f>
        <v>2.1354838709677417</v>
      </c>
      <c r="J16" s="31">
        <f>10*AVERAGE(Recomendador!$H16:$I16)</f>
        <v>44.516129032258064</v>
      </c>
      <c r="K16" s="15">
        <f>VLOOKUP(Recomendador!$C16,Rendiment[],6,FALSE)</f>
        <v>331</v>
      </c>
      <c r="L16" s="16">
        <f>VLOOKUP(Recomendador!$C16,GPU[],10,FALSE)</f>
        <v>1049</v>
      </c>
      <c r="M16" s="148"/>
      <c r="N16" s="36" t="s">
        <v>24</v>
      </c>
      <c r="O16" s="37">
        <f>GPU_Nvidia5611[[#This Row],[Preu]]/GPU_Nvidia5611[[#This Row],[Rendiment]]</f>
        <v>5.7534246575342465</v>
      </c>
      <c r="P16" s="29">
        <f>GPU_Nvidia5611[[#This Row],[Cosnum]]/GPU_Nvidia5611[[#This Row],[Rendiment]]</f>
        <v>2.8767123287671232</v>
      </c>
      <c r="Q16" s="14">
        <f>VLOOKUP(GPU_Nvidia5611[[#This Row],[GPU]],Recomendador!$C$4:$L$30,2,FALSE)</f>
        <v>12</v>
      </c>
      <c r="R16" s="13" t="str">
        <f>VLOOKUP(GPU_Nvidia5611[[#This Row],[GPU]],Recomendador!$C$4:$L$30,3,FALSE)</f>
        <v>NO</v>
      </c>
      <c r="S16" s="13" t="str">
        <f>VLOOKUP(GPU_Nvidia5611[[#This Row],[GPU]],Recomendador!$C$4:$L$30,4,FALSE)</f>
        <v>SI</v>
      </c>
      <c r="T16" s="24">
        <f>VLOOKUP(GPU_Nvidia5611[[#This Row],[GPU]],Recomendador!$C$4:$L$30,5,FALSE)</f>
        <v>73</v>
      </c>
      <c r="U16" s="15">
        <f>VLOOKUP(GPU_Nvidia5611[[#This Row],[GPU]],Recomendador!$C$4:$L$30,9,FALSE)</f>
        <v>210</v>
      </c>
      <c r="V16" s="38">
        <f>(GPU_Nvidia5611[[#This Row],[W/FPS]]+GPU_Nvidia5611[[#This Row],[€/FPS]])/2*10</f>
        <v>43.150684931506845</v>
      </c>
      <c r="W16" s="16">
        <f>VLOOKUP(GPU_Nvidia5611[[#This Row],[GPU]],Recomendador!$C$4:$L$30,10,FALSE)</f>
        <v>420</v>
      </c>
    </row>
    <row r="17" spans="3:23" ht="34.799999999999997" customHeight="1" x14ac:dyDescent="0.3">
      <c r="C17" s="184" t="s">
        <v>46</v>
      </c>
      <c r="D17" s="176">
        <f>VLOOKUP(Recomendador!$C17,GPU[],3,FALSE)</f>
        <v>24</v>
      </c>
      <c r="E17" s="177" t="str">
        <f>VLOOKUP(Recomendador!$C17,GPU[],6,FALSE)</f>
        <v>NO</v>
      </c>
      <c r="F17" s="177" t="str">
        <f>VLOOKUP(Recomendador!$C17,GPU[],5,FALSE)</f>
        <v>SI</v>
      </c>
      <c r="G17" s="178">
        <f>VLOOKUP(Recomendador!$C17,Rendiment[],5,FALSE)</f>
        <v>176</v>
      </c>
      <c r="H17" s="179">
        <f>Recomendador!$L17/Recomendador!$G17</f>
        <v>7.6704545454545459</v>
      </c>
      <c r="I17" s="180">
        <f>Recomendador!$K17/Recomendador!$G17</f>
        <v>2.3863636363636362</v>
      </c>
      <c r="J17" s="181">
        <f>10*AVERAGE(Recomendador!$H17:$I17)</f>
        <v>50.284090909090907</v>
      </c>
      <c r="K17" s="182">
        <f>VLOOKUP(Recomendador!$C17,Rendiment[],6,FALSE)</f>
        <v>420</v>
      </c>
      <c r="L17" s="183">
        <f>VLOOKUP(Recomendador!$C17,GPU[],10,FALSE)</f>
        <v>1350</v>
      </c>
      <c r="M17" s="148"/>
      <c r="N17" s="19" t="s">
        <v>32</v>
      </c>
      <c r="O17" s="27">
        <f>GPU_Nvidia5611[[#This Row],[Preu]]/GPU_Nvidia5611[[#This Row],[Rendiment]]</f>
        <v>9.4594594594594597</v>
      </c>
      <c r="P17" s="29">
        <f>GPU_Nvidia5611[[#This Row],[Cosnum]]/GPU_Nvidia5611[[#This Row],[Rendiment]]</f>
        <v>3.5135135135135136</v>
      </c>
      <c r="Q17" s="14">
        <f>VLOOKUP(GPU_Nvidia5611[[#This Row],[GPU]],Recomendador!$C$4:$L$30,2,FALSE)</f>
        <v>8</v>
      </c>
      <c r="R17" s="13" t="str">
        <f>VLOOKUP(GPU_Nvidia5611[[#This Row],[GPU]],Recomendador!$C$4:$L$30,3,FALSE)</f>
        <v>SI</v>
      </c>
      <c r="S17" s="13" t="str">
        <f>VLOOKUP(GPU_Nvidia5611[[#This Row],[GPU]],Recomendador!$C$4:$L$30,4,FALSE)</f>
        <v>SI</v>
      </c>
      <c r="T17" s="24">
        <f>VLOOKUP(GPU_Nvidia5611[[#This Row],[GPU]],Recomendador!$C$4:$L$30,5,FALSE)</f>
        <v>37</v>
      </c>
      <c r="U17" s="15">
        <f>VLOOKUP(GPU_Nvidia5611[[#This Row],[GPU]],Recomendador!$C$4:$L$30,9,FALSE)</f>
        <v>130</v>
      </c>
      <c r="V17" s="34">
        <f>(GPU_Nvidia5611[[#This Row],[W/FPS]]+GPU_Nvidia5611[[#This Row],[€/FPS]])/2*10</f>
        <v>64.86486486486487</v>
      </c>
      <c r="W17" s="16">
        <f>VLOOKUP(GPU_Nvidia5611[[#This Row],[GPU]],Recomendador!$C$4:$L$30,10,FALSE)</f>
        <v>350</v>
      </c>
    </row>
    <row r="18" spans="3:23" ht="34.799999999999997" customHeight="1" x14ac:dyDescent="0.3">
      <c r="C18" s="12" t="s">
        <v>30</v>
      </c>
      <c r="D18" s="14">
        <f>VLOOKUP(Recomendador!$C18,GPU[],3,FALSE)</f>
        <v>4</v>
      </c>
      <c r="E18" s="13" t="str">
        <f>VLOOKUP(Recomendador!$C18,GPU[],6,FALSE)</f>
        <v>NO</v>
      </c>
      <c r="F18" s="13" t="str">
        <f>VLOOKUP(Recomendador!$C18,GPU[],5,FALSE)</f>
        <v>NO</v>
      </c>
      <c r="G18" s="24">
        <f>VLOOKUP(Recomendador!$C18,Rendiment[],5,FALSE)</f>
        <v>27</v>
      </c>
      <c r="H18" s="26">
        <f>Recomendador!$L18/Recomendador!$G18</f>
        <v>6.5555555555555554</v>
      </c>
      <c r="I18" s="29">
        <f>Recomendador!$K18/Recomendador!$G18</f>
        <v>3.7037037037037037</v>
      </c>
      <c r="J18" s="31">
        <f>10*AVERAGE(Recomendador!$H18:$I18)</f>
        <v>51.296296296296298</v>
      </c>
      <c r="K18" s="15">
        <f>VLOOKUP(Recomendador!$C18,Rendiment[],6,FALSE)</f>
        <v>100</v>
      </c>
      <c r="L18" s="16">
        <f>VLOOKUP(Recomendador!$C18,GPU[],10,FALSE)</f>
        <v>177</v>
      </c>
      <c r="M18" s="148"/>
      <c r="N18" s="17" t="s">
        <v>33</v>
      </c>
      <c r="O18" s="21">
        <f>GPU_Nvidia5611[[#This Row],[Preu]]/GPU_Nvidia5611[[#This Row],[Rendiment]]</f>
        <v>7.708333333333333</v>
      </c>
      <c r="P18" s="29">
        <f>GPU_Nvidia5611[[#This Row],[Cosnum]]/GPU_Nvidia5611[[#This Row],[Rendiment]]</f>
        <v>3.5416666666666665</v>
      </c>
      <c r="Q18" s="14">
        <f>VLOOKUP(GPU_Nvidia5611[[#This Row],[GPU]],Recomendador!$C$4:$L$30,2,FALSE)</f>
        <v>12</v>
      </c>
      <c r="R18" s="13" t="str">
        <f>VLOOKUP(GPU_Nvidia5611[[#This Row],[GPU]],Recomendador!$C$4:$L$30,3,FALSE)</f>
        <v>SI</v>
      </c>
      <c r="S18" s="13" t="str">
        <f>VLOOKUP(GPU_Nvidia5611[[#This Row],[GPU]],Recomendador!$C$4:$L$30,4,FALSE)</f>
        <v>SI</v>
      </c>
      <c r="T18" s="24">
        <f>VLOOKUP(GPU_Nvidia5611[[#This Row],[GPU]],Recomendador!$C$4:$L$30,5,FALSE)</f>
        <v>48</v>
      </c>
      <c r="U18" s="15">
        <f>VLOOKUP(GPU_Nvidia5611[[#This Row],[GPU]],Recomendador!$C$4:$L$30,9,FALSE)</f>
        <v>170</v>
      </c>
      <c r="V18" s="35">
        <f>(GPU_Nvidia5611[[#This Row],[W/FPS]]+GPU_Nvidia5611[[#This Row],[€/FPS]])/2*10</f>
        <v>56.25</v>
      </c>
      <c r="W18" s="16">
        <f>VLOOKUP(GPU_Nvidia5611[[#This Row],[GPU]],Recomendador!$C$4:$L$30,10,FALSE)</f>
        <v>370</v>
      </c>
    </row>
    <row r="19" spans="3:23" ht="34.799999999999997" customHeight="1" thickBot="1" x14ac:dyDescent="0.35">
      <c r="C19" s="184" t="s">
        <v>31</v>
      </c>
      <c r="D19" s="176">
        <f>VLOOKUP(Recomendador!$C19,GPU[],3,FALSE)</f>
        <v>6</v>
      </c>
      <c r="E19" s="177" t="str">
        <f>VLOOKUP(Recomendador!$C19,GPU[],6,FALSE)</f>
        <v>NO</v>
      </c>
      <c r="F19" s="177" t="str">
        <f>VLOOKUP(Recomendador!$C19,GPU[],5,FALSE)</f>
        <v>NO</v>
      </c>
      <c r="G19" s="178">
        <f>VLOOKUP(Recomendador!$C19,Rendiment[],5,FALSE)</f>
        <v>40</v>
      </c>
      <c r="H19" s="179">
        <f>Recomendador!$L19/Recomendador!$G19</f>
        <v>8.25</v>
      </c>
      <c r="I19" s="180">
        <f>Recomendador!$K19/Recomendador!$G19</f>
        <v>3</v>
      </c>
      <c r="J19" s="181">
        <f>10*AVERAGE(Recomendador!$H19:$I19)</f>
        <v>56.25</v>
      </c>
      <c r="K19" s="182">
        <f>VLOOKUP(Recomendador!$C19,Rendiment[],6,FALSE)</f>
        <v>120</v>
      </c>
      <c r="L19" s="183">
        <f>VLOOKUP(Recomendador!$C19,GPU[],10,FALSE)</f>
        <v>330</v>
      </c>
      <c r="M19" s="148"/>
    </row>
    <row r="20" spans="3:23" ht="34.799999999999997" customHeight="1" thickBot="1" x14ac:dyDescent="0.35">
      <c r="C20" s="12" t="s">
        <v>32</v>
      </c>
      <c r="D20" s="14">
        <f>VLOOKUP(Recomendador!$C20,GPU[],3,FALSE)</f>
        <v>8</v>
      </c>
      <c r="E20" s="13" t="str">
        <f>VLOOKUP(Recomendador!$C20,GPU[],6,FALSE)</f>
        <v>SI</v>
      </c>
      <c r="F20" s="13" t="str">
        <f>VLOOKUP(Recomendador!$C20,GPU[],5,FALSE)</f>
        <v>SI</v>
      </c>
      <c r="G20" s="24">
        <f>VLOOKUP(Recomendador!$C20,Rendiment[],5,FALSE)</f>
        <v>37</v>
      </c>
      <c r="H20" s="26">
        <f>Recomendador!$L20/Recomendador!$G20</f>
        <v>9.4594594594594597</v>
      </c>
      <c r="I20" s="29">
        <f>Recomendador!$K20/Recomendador!$G20</f>
        <v>3.5135135135135136</v>
      </c>
      <c r="J20" s="31">
        <f>10*AVERAGE(Recomendador!$H20:$I20)</f>
        <v>64.86486486486487</v>
      </c>
      <c r="K20" s="15">
        <f>VLOOKUP(Recomendador!$C20,Rendiment[],6,FALSE)</f>
        <v>130</v>
      </c>
      <c r="L20" s="16">
        <f>VLOOKUP(Recomendador!$C20,GPU[],10,FALSE)</f>
        <v>350</v>
      </c>
      <c r="M20" s="148"/>
      <c r="N20" s="154" t="str">
        <f>_xlfn.CONCAT("GAMA ALTA: ",MIN(GPU_Nvidia5712[Preu]),"€"," - ",MAX(GPU_Nvidia5712[Preu]),"€, ",MIN(GPU_Nvidia5712[Cosnum]),"W"," - ",MAX(GPU_Nvidia5712[Cosnum]),"W, ",MIN(GPU_Nvidia5712[Memoria VRAM]),"GB"," - ",MAX(GPU_Nvidia5712[Memoria VRAM]),"GB")</f>
        <v>GAMA ALTA: 470€ - 690€, 200W - 300W, 8GB - 16GB</v>
      </c>
      <c r="O20" s="155"/>
      <c r="P20" s="155"/>
      <c r="Q20" s="155"/>
      <c r="R20" s="155"/>
      <c r="S20" s="155"/>
      <c r="T20" s="155"/>
      <c r="U20" s="155"/>
      <c r="V20" s="155"/>
      <c r="W20" s="156"/>
    </row>
    <row r="21" spans="3:23" ht="34.799999999999997" customHeight="1" thickBot="1" x14ac:dyDescent="0.35">
      <c r="C21" s="184" t="s">
        <v>33</v>
      </c>
      <c r="D21" s="176">
        <f>VLOOKUP(Recomendador!$C21,GPU[],3,FALSE)</f>
        <v>12</v>
      </c>
      <c r="E21" s="177" t="str">
        <f>VLOOKUP(Recomendador!$C21,GPU[],6,FALSE)</f>
        <v>SI</v>
      </c>
      <c r="F21" s="177" t="str">
        <f>VLOOKUP(Recomendador!$C21,GPU[],5,FALSE)</f>
        <v>SI</v>
      </c>
      <c r="G21" s="178">
        <f>VLOOKUP(Recomendador!$C21,Rendiment[],5,FALSE)</f>
        <v>48</v>
      </c>
      <c r="H21" s="179">
        <f>Recomendador!$L21/Recomendador!$G21</f>
        <v>7.708333333333333</v>
      </c>
      <c r="I21" s="180">
        <f>Recomendador!$K21/Recomendador!$G21</f>
        <v>3.5416666666666665</v>
      </c>
      <c r="J21" s="181">
        <f>10*AVERAGE(Recomendador!$H21:$I21)</f>
        <v>56.25</v>
      </c>
      <c r="K21" s="182">
        <f>VLOOKUP(Recomendador!$C21,Rendiment[],6,FALSE)</f>
        <v>170</v>
      </c>
      <c r="L21" s="183">
        <f>VLOOKUP(Recomendador!$C21,GPU[],10,FALSE)</f>
        <v>370</v>
      </c>
      <c r="M21" s="148"/>
      <c r="N21" s="2" t="s">
        <v>43</v>
      </c>
      <c r="O21" s="2" t="s">
        <v>52</v>
      </c>
      <c r="P21" s="2" t="s">
        <v>51</v>
      </c>
      <c r="Q21" s="2" t="s">
        <v>1</v>
      </c>
      <c r="R21" s="2" t="s">
        <v>53</v>
      </c>
      <c r="S21" s="2" t="s">
        <v>3</v>
      </c>
      <c r="T21" s="2" t="s">
        <v>49</v>
      </c>
      <c r="U21" s="2" t="s">
        <v>10</v>
      </c>
      <c r="V21" s="2" t="s">
        <v>55</v>
      </c>
      <c r="W21" s="2" t="s">
        <v>7</v>
      </c>
    </row>
    <row r="22" spans="3:23" ht="34.799999999999997" customHeight="1" x14ac:dyDescent="0.3">
      <c r="C22" s="12" t="s">
        <v>34</v>
      </c>
      <c r="D22" s="14">
        <f>VLOOKUP(Recomendador!$C22,GPU[],3,FALSE)</f>
        <v>8</v>
      </c>
      <c r="E22" s="13" t="str">
        <f>VLOOKUP(Recomendador!$C22,GPU[],6,FALSE)</f>
        <v>SI</v>
      </c>
      <c r="F22" s="13" t="str">
        <f>VLOOKUP(Recomendador!$C22,GPU[],5,FALSE)</f>
        <v>SI</v>
      </c>
      <c r="G22" s="24">
        <f>VLOOKUP(Recomendador!$C22,Rendiment[],5,FALSE)</f>
        <v>60</v>
      </c>
      <c r="H22" s="26">
        <f>Recomendador!$L22/Recomendador!$G22</f>
        <v>8</v>
      </c>
      <c r="I22" s="29">
        <f>Recomendador!$K22/Recomendador!$G22</f>
        <v>3.3333333333333335</v>
      </c>
      <c r="J22" s="31">
        <f>10*AVERAGE(Recomendador!$H22:$I22)</f>
        <v>56.666666666666671</v>
      </c>
      <c r="K22" s="15">
        <f>VLOOKUP(Recomendador!$C22,Rendiment[],6,FALSE)</f>
        <v>200</v>
      </c>
      <c r="L22" s="16">
        <f>VLOOKUP(Recomendador!$C22,GPU[],10,FALSE)</f>
        <v>480</v>
      </c>
      <c r="M22" s="148"/>
      <c r="N22" s="12" t="s">
        <v>25</v>
      </c>
      <c r="O22" s="26">
        <f>GPU_Nvidia5712[[#This Row],[Preu]]/GPU_Nvidia5712[[#This Row],[Rendiment]]</f>
        <v>5.2222222222222223</v>
      </c>
      <c r="P22" s="29">
        <f>GPU_Nvidia5712[[#This Row],[Cosnum]]/GPU_Nvidia5712[[#This Row],[Rendiment]]</f>
        <v>2.7777777777777777</v>
      </c>
      <c r="Q22" s="14">
        <f>VLOOKUP(GPU_Nvidia5712[[#This Row],[GPU]],Recomendador!$C$4:$L$30,2,FALSE)</f>
        <v>12</v>
      </c>
      <c r="R22" s="13" t="str">
        <f>VLOOKUP(GPU_Nvidia5712[[#This Row],[GPU]],Recomendador!$C$4:$L$30,3,FALSE)</f>
        <v>NO</v>
      </c>
      <c r="S22" s="13" t="str">
        <f>VLOOKUP(GPU_Nvidia5712[[#This Row],[GPU]],Recomendador!$C$4:$L$30,4,FALSE)</f>
        <v>SI</v>
      </c>
      <c r="T22" s="24">
        <f>VLOOKUP(GPU_Nvidia5712[[#This Row],[GPU]],Recomendador!$C$4:$L$30,5,FALSE)</f>
        <v>90</v>
      </c>
      <c r="U22" s="15">
        <f>VLOOKUP(GPU_Nvidia5712[[#This Row],[GPU]],Recomendador!$C$4:$L$30,9,FALSE)</f>
        <v>250</v>
      </c>
      <c r="V22" s="31">
        <f>INT(GPU_Nvidia5712[[#This Row],[€/FPS]]+GPU_Nvidia5712[[#This Row],[W/FPS]])/2*10</f>
        <v>40</v>
      </c>
      <c r="W22" s="16">
        <f>VLOOKUP(GPU_Nvidia5712[[#This Row],[GPU]],Recomendador!$C$4:$L$30,10,FALSE)</f>
        <v>470</v>
      </c>
    </row>
    <row r="23" spans="3:23" ht="34.799999999999997" customHeight="1" x14ac:dyDescent="0.3">
      <c r="C23" s="184" t="s">
        <v>35</v>
      </c>
      <c r="D23" s="176">
        <f>VLOOKUP(Recomendador!$C23,GPU[],3,FALSE)</f>
        <v>8</v>
      </c>
      <c r="E23" s="177" t="str">
        <f>VLOOKUP(Recomendador!$C23,GPU[],6,FALSE)</f>
        <v>SI</v>
      </c>
      <c r="F23" s="177" t="str">
        <f>VLOOKUP(Recomendador!$C23,GPU[],5,FALSE)</f>
        <v>SI</v>
      </c>
      <c r="G23" s="178">
        <f>VLOOKUP(Recomendador!$C23,Rendiment[],5,FALSE)</f>
        <v>74</v>
      </c>
      <c r="H23" s="179">
        <f>Recomendador!$L23/Recomendador!$G23</f>
        <v>7.7027027027027026</v>
      </c>
      <c r="I23" s="180">
        <f>Recomendador!$K23/Recomendador!$G23</f>
        <v>2.9729729729729728</v>
      </c>
      <c r="J23" s="181">
        <f>10*AVERAGE(Recomendador!$H23:$I23)</f>
        <v>53.378378378378379</v>
      </c>
      <c r="K23" s="182">
        <f>VLOOKUP(Recomendador!$C23,Rendiment[],6,FALSE)</f>
        <v>220</v>
      </c>
      <c r="L23" s="183">
        <f>VLOOKUP(Recomendador!$C23,GPU[],10,FALSE)</f>
        <v>570</v>
      </c>
      <c r="M23" s="148"/>
      <c r="N23" s="12" t="s">
        <v>26</v>
      </c>
      <c r="O23" s="26">
        <f>GPU_Nvidia5712[[#This Row],[Preu]]/GPU_Nvidia5712[[#This Row],[Rendiment]]</f>
        <v>5.4455445544554459</v>
      </c>
      <c r="P23" s="29">
        <f>GPU_Nvidia5712[[#This Row],[Cosnum]]/GPU_Nvidia5712[[#This Row],[Rendiment]]</f>
        <v>2.7722772277227721</v>
      </c>
      <c r="Q23" s="14">
        <f>VLOOKUP(GPU_Nvidia5712[[#This Row],[GPU]],Recomendador!$C$4:$L$30,2,FALSE)</f>
        <v>16</v>
      </c>
      <c r="R23" s="13" t="str">
        <f>VLOOKUP(GPU_Nvidia5712[[#This Row],[GPU]],Recomendador!$C$4:$L$30,3,FALSE)</f>
        <v>NO</v>
      </c>
      <c r="S23" s="13" t="str">
        <f>VLOOKUP(GPU_Nvidia5712[[#This Row],[GPU]],Recomendador!$C$4:$L$30,4,FALSE)</f>
        <v>SI</v>
      </c>
      <c r="T23" s="24">
        <f>VLOOKUP(GPU_Nvidia5712[[#This Row],[GPU]],Recomendador!$C$4:$L$30,5,FALSE)</f>
        <v>101</v>
      </c>
      <c r="U23" s="15">
        <f>VLOOKUP(GPU_Nvidia5712[[#This Row],[GPU]],Recomendador!$C$4:$L$30,9,FALSE)</f>
        <v>280</v>
      </c>
      <c r="V23" s="31">
        <f>INT(GPU_Nvidia5712[[#This Row],[€/FPS]]+GPU_Nvidia5712[[#This Row],[W/FPS]])/2*10</f>
        <v>40</v>
      </c>
      <c r="W23" s="16">
        <f>VLOOKUP(GPU_Nvidia5712[[#This Row],[GPU]],Recomendador!$C$4:$L$30,10,FALSE)</f>
        <v>550</v>
      </c>
    </row>
    <row r="24" spans="3:23" ht="34.799999999999997" customHeight="1" x14ac:dyDescent="0.3">
      <c r="C24" s="12" t="s">
        <v>36</v>
      </c>
      <c r="D24" s="14">
        <f>VLOOKUP(Recomendador!$C24,GPU[],3,FALSE)</f>
        <v>8</v>
      </c>
      <c r="E24" s="13" t="str">
        <f>VLOOKUP(Recomendador!$C24,GPU[],6,FALSE)</f>
        <v>SI</v>
      </c>
      <c r="F24" s="13" t="str">
        <f>VLOOKUP(Recomendador!$C24,GPU[],5,FALSE)</f>
        <v>SI</v>
      </c>
      <c r="G24" s="24">
        <f>VLOOKUP(Recomendador!$C24,Rendiment[],5,FALSE)</f>
        <v>84</v>
      </c>
      <c r="H24" s="26">
        <f>Recomendador!$L24/Recomendador!$G24</f>
        <v>8.2142857142857135</v>
      </c>
      <c r="I24" s="29">
        <f>Recomendador!$K24/Recomendador!$G24</f>
        <v>3.4523809523809526</v>
      </c>
      <c r="J24" s="31">
        <f>10*AVERAGE(Recomendador!$H24:$I24)</f>
        <v>58.333333333333329</v>
      </c>
      <c r="K24" s="15">
        <f>VLOOKUP(Recomendador!$C24,Rendiment[],6,FALSE)</f>
        <v>290</v>
      </c>
      <c r="L24" s="16">
        <f>VLOOKUP(Recomendador!$C24,GPU[],10,FALSE)</f>
        <v>690</v>
      </c>
      <c r="M24" s="148"/>
      <c r="N24" s="12" t="s">
        <v>27</v>
      </c>
      <c r="O24" s="26">
        <f>GPU_Nvidia5712[[#This Row],[Preu]]/GPU_Nvidia5712[[#This Row],[Rendiment]]</f>
        <v>6.1818181818181817</v>
      </c>
      <c r="P24" s="29">
        <f>GPU_Nvidia5712[[#This Row],[Cosnum]]/GPU_Nvidia5712[[#This Row],[Rendiment]]</f>
        <v>2.7272727272727271</v>
      </c>
      <c r="Q24" s="14">
        <f>VLOOKUP(GPU_Nvidia5712[[#This Row],[GPU]],Recomendador!$C$4:$L$30,2,FALSE)</f>
        <v>16</v>
      </c>
      <c r="R24" s="13" t="str">
        <f>VLOOKUP(GPU_Nvidia5712[[#This Row],[GPU]],Recomendador!$C$4:$L$30,3,FALSE)</f>
        <v>NO</v>
      </c>
      <c r="S24" s="13" t="str">
        <f>VLOOKUP(GPU_Nvidia5712[[#This Row],[GPU]],Recomendador!$C$4:$L$30,4,FALSE)</f>
        <v>SI</v>
      </c>
      <c r="T24" s="24">
        <f>VLOOKUP(GPU_Nvidia5712[[#This Row],[GPU]],Recomendador!$C$4:$L$30,5,FALSE)</f>
        <v>110</v>
      </c>
      <c r="U24" s="15">
        <f>VLOOKUP(GPU_Nvidia5712[[#This Row],[GPU]],Recomendador!$C$4:$L$30,9,FALSE)</f>
        <v>300</v>
      </c>
      <c r="V24" s="31">
        <f>INT(GPU_Nvidia5712[[#This Row],[€/FPS]]+GPU_Nvidia5712[[#This Row],[W/FPS]])/2*10</f>
        <v>40</v>
      </c>
      <c r="W24" s="16">
        <f>VLOOKUP(GPU_Nvidia5712[[#This Row],[GPU]],Recomendador!$C$4:$L$30,10,FALSE)</f>
        <v>680</v>
      </c>
    </row>
    <row r="25" spans="3:23" ht="34.799999999999997" customHeight="1" x14ac:dyDescent="0.3">
      <c r="C25" s="184" t="s">
        <v>37</v>
      </c>
      <c r="D25" s="176">
        <f>VLOOKUP(Recomendador!$C25,GPU[],3,FALSE)</f>
        <v>10</v>
      </c>
      <c r="E25" s="177" t="str">
        <f>VLOOKUP(Recomendador!$C25,GPU[],6,FALSE)</f>
        <v>SI</v>
      </c>
      <c r="F25" s="177" t="str">
        <f>VLOOKUP(Recomendador!$C25,GPU[],5,FALSE)</f>
        <v>SI</v>
      </c>
      <c r="G25" s="178">
        <f>VLOOKUP(Recomendador!$C25,Rendiment[],5,FALSE)</f>
        <v>97</v>
      </c>
      <c r="H25" s="179">
        <f>Recomendador!$L25/Recomendador!$G25</f>
        <v>8.2474226804123703</v>
      </c>
      <c r="I25" s="180">
        <f>Recomendador!$K25/Recomendador!$G25</f>
        <v>3.2989690721649483</v>
      </c>
      <c r="J25" s="181">
        <f>10*AVERAGE(Recomendador!$H25:$I25)</f>
        <v>57.731958762886592</v>
      </c>
      <c r="K25" s="182">
        <f>VLOOKUP(Recomendador!$C25,Rendiment[],6,FALSE)</f>
        <v>320</v>
      </c>
      <c r="L25" s="183">
        <f>VLOOKUP(Recomendador!$C25,GPU[],10,FALSE)</f>
        <v>800</v>
      </c>
      <c r="M25" s="148"/>
      <c r="N25" s="17" t="s">
        <v>34</v>
      </c>
      <c r="O25" s="21">
        <f>GPU_Nvidia5712[[#This Row],[Preu]]/GPU_Nvidia5712[[#This Row],[Rendiment]]</f>
        <v>8</v>
      </c>
      <c r="P25" s="22">
        <f>GPU_Nvidia5712[[#This Row],[Cosnum]]/GPU_Nvidia5712[[#This Row],[Rendiment]]</f>
        <v>3.3333333333333335</v>
      </c>
      <c r="Q25" s="14">
        <f>VLOOKUP(GPU_Nvidia5712[[#This Row],[GPU]],Recomendador!$C$4:$L$30,2,FALSE)</f>
        <v>8</v>
      </c>
      <c r="R25" s="13" t="str">
        <f>VLOOKUP(GPU_Nvidia5712[[#This Row],[GPU]],Recomendador!$C$4:$L$30,3,FALSE)</f>
        <v>SI</v>
      </c>
      <c r="S25" s="13" t="str">
        <f>VLOOKUP(GPU_Nvidia5712[[#This Row],[GPU]],Recomendador!$C$4:$L$30,4,FALSE)</f>
        <v>SI</v>
      </c>
      <c r="T25" s="24">
        <f>VLOOKUP(GPU_Nvidia5712[[#This Row],[GPU]],Recomendador!$C$4:$L$30,5,FALSE)</f>
        <v>60</v>
      </c>
      <c r="U25" s="15">
        <f>VLOOKUP(GPU_Nvidia5712[[#This Row],[GPU]],Recomendador!$C$4:$L$30,9,FALSE)</f>
        <v>200</v>
      </c>
      <c r="V25" s="32">
        <f>INT(GPU_Nvidia5712[[#This Row],[€/FPS]]+GPU_Nvidia5712[[#This Row],[W/FPS]])/2*10</f>
        <v>55</v>
      </c>
      <c r="W25" s="16">
        <f>VLOOKUP(GPU_Nvidia5712[[#This Row],[GPU]],Recomendador!$C$4:$L$30,10,FALSE)</f>
        <v>480</v>
      </c>
    </row>
    <row r="26" spans="3:23" ht="34.799999999999997" customHeight="1" x14ac:dyDescent="0.3">
      <c r="C26" s="12" t="s">
        <v>38</v>
      </c>
      <c r="D26" s="14">
        <f>VLOOKUP(Recomendador!$C26,GPU[],3,FALSE)</f>
        <v>12</v>
      </c>
      <c r="E26" s="13" t="str">
        <f>VLOOKUP(Recomendador!$C26,GPU[],6,FALSE)</f>
        <v>SI</v>
      </c>
      <c r="F26" s="13" t="str">
        <f>VLOOKUP(Recomendador!$C26,GPU[],5,FALSE)</f>
        <v>SI</v>
      </c>
      <c r="G26" s="24">
        <f>VLOOKUP(Recomendador!$C26,Rendiment[],5,FALSE)</f>
        <v>112</v>
      </c>
      <c r="H26" s="26">
        <f>Recomendador!$L26/Recomendador!$G26</f>
        <v>9.7410714285714288</v>
      </c>
      <c r="I26" s="29">
        <f>Recomendador!$K26/Recomendador!$G26</f>
        <v>3.125</v>
      </c>
      <c r="J26" s="31">
        <f>10*AVERAGE(Recomendador!$H26:$I26)</f>
        <v>64.330357142857139</v>
      </c>
      <c r="K26" s="15">
        <f>VLOOKUP(Recomendador!$C26,Rendiment[],6,FALSE)</f>
        <v>350</v>
      </c>
      <c r="L26" s="16">
        <f>VLOOKUP(Recomendador!$C26,GPU[],10,FALSE)</f>
        <v>1091</v>
      </c>
      <c r="M26" s="148"/>
      <c r="N26" s="17" t="s">
        <v>35</v>
      </c>
      <c r="O26" s="21">
        <f>GPU_Nvidia5712[[#This Row],[Preu]]/GPU_Nvidia5712[[#This Row],[Rendiment]]</f>
        <v>7.7027027027027026</v>
      </c>
      <c r="P26" s="22">
        <f>GPU_Nvidia5712[[#This Row],[Cosnum]]/GPU_Nvidia5712[[#This Row],[Rendiment]]</f>
        <v>2.9729729729729728</v>
      </c>
      <c r="Q26" s="14">
        <f>VLOOKUP(GPU_Nvidia5712[[#This Row],[GPU]],Recomendador!$C$4:$L$30,2,FALSE)</f>
        <v>8</v>
      </c>
      <c r="R26" s="13" t="str">
        <f>VLOOKUP(GPU_Nvidia5712[[#This Row],[GPU]],Recomendador!$C$4:$L$30,3,FALSE)</f>
        <v>SI</v>
      </c>
      <c r="S26" s="13" t="str">
        <f>VLOOKUP(GPU_Nvidia5712[[#This Row],[GPU]],Recomendador!$C$4:$L$30,4,FALSE)</f>
        <v>SI</v>
      </c>
      <c r="T26" s="24">
        <f>VLOOKUP(GPU_Nvidia5712[[#This Row],[GPU]],Recomendador!$C$4:$L$30,5,FALSE)</f>
        <v>74</v>
      </c>
      <c r="U26" s="15">
        <f>VLOOKUP(GPU_Nvidia5712[[#This Row],[GPU]],Recomendador!$C$4:$L$30,9,FALSE)</f>
        <v>220</v>
      </c>
      <c r="V26" s="32">
        <f>INT(GPU_Nvidia5712[[#This Row],[€/FPS]]+GPU_Nvidia5712[[#This Row],[W/FPS]])/2*10</f>
        <v>50</v>
      </c>
      <c r="W26" s="16">
        <f>VLOOKUP(GPU_Nvidia5712[[#This Row],[GPU]],Recomendador!$C$4:$L$30,10,FALSE)</f>
        <v>570</v>
      </c>
    </row>
    <row r="27" spans="3:23" ht="34.799999999999997" customHeight="1" x14ac:dyDescent="0.3">
      <c r="C27" s="184" t="s">
        <v>39</v>
      </c>
      <c r="D27" s="176">
        <f>VLOOKUP(Recomendador!$C27,GPU[],3,FALSE)</f>
        <v>12</v>
      </c>
      <c r="E27" s="177" t="str">
        <f>VLOOKUP(Recomendador!$C27,GPU[],6,FALSE)</f>
        <v>SI</v>
      </c>
      <c r="F27" s="177" t="str">
        <f>VLOOKUP(Recomendador!$C27,GPU[],5,FALSE)</f>
        <v>SI</v>
      </c>
      <c r="G27" s="178">
        <f>VLOOKUP(Recomendador!$C27,Rendiment[],5,FALSE)</f>
        <v>124</v>
      </c>
      <c r="H27" s="179">
        <f>Recomendador!$L27/Recomendador!$G27</f>
        <v>9.67741935483871</v>
      </c>
      <c r="I27" s="180">
        <f>Recomendador!$K27/Recomendador!$G27</f>
        <v>3.629032258064516</v>
      </c>
      <c r="J27" s="181">
        <f>10*AVERAGE(Recomendador!$H27:$I27)</f>
        <v>66.532258064516128</v>
      </c>
      <c r="K27" s="182">
        <f>VLOOKUP(Recomendador!$C27,Rendiment[],6,FALSE)</f>
        <v>450</v>
      </c>
      <c r="L27" s="183">
        <f>VLOOKUP(Recomendador!$C27,GPU[],10,FALSE)</f>
        <v>1200</v>
      </c>
      <c r="M27" s="148"/>
      <c r="N27" s="17" t="s">
        <v>36</v>
      </c>
      <c r="O27" s="21">
        <f>GPU_Nvidia5712[[#This Row],[Preu]]/GPU_Nvidia5712[[#This Row],[Rendiment]]</f>
        <v>8.2142857142857135</v>
      </c>
      <c r="P27" s="22">
        <f>GPU_Nvidia5712[[#This Row],[Cosnum]]/GPU_Nvidia5712[[#This Row],[Rendiment]]</f>
        <v>3.4523809523809526</v>
      </c>
      <c r="Q27" s="14">
        <f>VLOOKUP(GPU_Nvidia5712[[#This Row],[GPU]],Recomendador!$C$4:$L$30,2,FALSE)</f>
        <v>8</v>
      </c>
      <c r="R27" s="13" t="str">
        <f>VLOOKUP(GPU_Nvidia5712[[#This Row],[GPU]],Recomendador!$C$4:$L$30,3,FALSE)</f>
        <v>SI</v>
      </c>
      <c r="S27" s="13" t="str">
        <f>VLOOKUP(GPU_Nvidia5712[[#This Row],[GPU]],Recomendador!$C$4:$L$30,4,FALSE)</f>
        <v>SI</v>
      </c>
      <c r="T27" s="24">
        <f>VLOOKUP(GPU_Nvidia5712[[#This Row],[GPU]],Recomendador!$C$4:$L$30,5,FALSE)</f>
        <v>84</v>
      </c>
      <c r="U27" s="15">
        <f>VLOOKUP(GPU_Nvidia5712[[#This Row],[GPU]],Recomendador!$C$4:$L$30,9,FALSE)</f>
        <v>290</v>
      </c>
      <c r="V27" s="32">
        <f>INT(GPU_Nvidia5712[[#This Row],[€/FPS]]+GPU_Nvidia5712[[#This Row],[W/FPS]])/2*10</f>
        <v>55</v>
      </c>
      <c r="W27" s="16">
        <f>VLOOKUP(GPU_Nvidia5712[[#This Row],[GPU]],Recomendador!$C$4:$L$30,10,FALSE)</f>
        <v>690</v>
      </c>
    </row>
    <row r="28" spans="3:23" ht="34.799999999999997" customHeight="1" x14ac:dyDescent="0.3">
      <c r="C28" s="12" t="s">
        <v>40</v>
      </c>
      <c r="D28" s="14">
        <f>VLOOKUP(Recomendador!$C28,GPU[],3,FALSE)</f>
        <v>16</v>
      </c>
      <c r="E28" s="13" t="str">
        <f>VLOOKUP(Recomendador!$C28,GPU[],6,FALSE)</f>
        <v>SI</v>
      </c>
      <c r="F28" s="13" t="str">
        <f>VLOOKUP(Recomendador!$C28,GPU[],5,FALSE)</f>
        <v>SI</v>
      </c>
      <c r="G28" s="24">
        <f>VLOOKUP(Recomendador!$C28,Rendiment[],5,FALSE)</f>
        <v>133</v>
      </c>
      <c r="H28" s="26">
        <f>Recomendador!$L28/Recomendador!$G28</f>
        <v>11.278195488721805</v>
      </c>
      <c r="I28" s="29">
        <f>Recomendador!$K28/Recomendador!$G28</f>
        <v>3.3834586466165413</v>
      </c>
      <c r="J28" s="31">
        <f>10*AVERAGE(Recomendador!$H28:$I28)</f>
        <v>73.308270676691734</v>
      </c>
      <c r="K28" s="15">
        <f>VLOOKUP(Recomendador!$C28,Rendiment[],6,FALSE)</f>
        <v>450</v>
      </c>
      <c r="L28" s="16">
        <f>VLOOKUP(Recomendador!$C28,GPU[],10,FALSE)</f>
        <v>1500</v>
      </c>
      <c r="M28" s="148"/>
    </row>
    <row r="29" spans="3:23" ht="34.799999999999997" customHeight="1" thickBot="1" x14ac:dyDescent="0.35">
      <c r="C29" s="184" t="s">
        <v>41</v>
      </c>
      <c r="D29" s="176">
        <f>VLOOKUP(Recomendador!$C29,GPU[],3,FALSE)</f>
        <v>16</v>
      </c>
      <c r="E29" s="177" t="str">
        <f>VLOOKUP(Recomendador!$C29,GPU[],6,FALSE)</f>
        <v>SI</v>
      </c>
      <c r="F29" s="177" t="str">
        <f>VLOOKUP(Recomendador!$C29,GPU[],5,FALSE)</f>
        <v>SI</v>
      </c>
      <c r="G29" s="178">
        <f>VLOOKUP(Recomendador!$C29,Rendiment[],5,FALSE)</f>
        <v>150</v>
      </c>
      <c r="H29" s="179">
        <f>Recomendador!$L29/Recomendador!$G29</f>
        <v>10.333333333333334</v>
      </c>
      <c r="I29" s="180">
        <f>Recomendador!$K29/Recomendador!$G29</f>
        <v>2.1333333333333333</v>
      </c>
      <c r="J29" s="181">
        <f>10*AVERAGE(Recomendador!$H29:$I29)</f>
        <v>62.333333333333336</v>
      </c>
      <c r="K29" s="182">
        <f>VLOOKUP(Recomendador!$C29,Rendiment[],6,FALSE)</f>
        <v>320</v>
      </c>
      <c r="L29" s="183">
        <f>VLOOKUP(Recomendador!$C29,GPU[],10,FALSE)</f>
        <v>1550</v>
      </c>
      <c r="M29" s="148"/>
      <c r="N29" s="174" t="str">
        <f>_xlfn.CONCAT("GAMA MAJOR: ",MIN(GPU_Nvidia56813[Preu]),"€"," - ",MAX(GPU_Nvidia56813[Preu]),"€, ",MIN(GPU_Nvidia56813[Cosnum]),"W"," - ",MAX(GPU_Nvidia56813[Cosnum]),"W, ",MIN(GPU_Nvidia56813[Memoria VRAM]),"GB"," - ",MAX(GPU_Nvidia56813[Memoria VRAM]),"GB")</f>
        <v>GAMA MAJOR: 680€ - 1900€, 300W - 450W, 10GB - 24GB</v>
      </c>
      <c r="O29" s="175"/>
      <c r="P29" s="175"/>
      <c r="Q29" s="175"/>
      <c r="R29" s="175"/>
      <c r="S29" s="175"/>
      <c r="T29" s="175"/>
      <c r="U29" s="175"/>
      <c r="V29" s="175"/>
      <c r="W29" s="175"/>
    </row>
    <row r="30" spans="3:23" ht="34.799999999999997" customHeight="1" thickBot="1" x14ac:dyDescent="0.35">
      <c r="C30" s="12" t="s">
        <v>42</v>
      </c>
      <c r="D30" s="14">
        <f>VLOOKUP(Recomendador!$C30,GPU[],3,FALSE)</f>
        <v>24</v>
      </c>
      <c r="E30" s="13" t="str">
        <f>VLOOKUP(Recomendador!$C30,GPU[],6,FALSE)</f>
        <v>SI</v>
      </c>
      <c r="F30" s="13" t="str">
        <f>VLOOKUP(Recomendador!$C30,GPU[],5,FALSE)</f>
        <v>SI</v>
      </c>
      <c r="G30" s="24">
        <f>VLOOKUP(Recomendador!$C30,Rendiment[],5,FALSE)</f>
        <v>183</v>
      </c>
      <c r="H30" s="26">
        <f>Recomendador!$L30/Recomendador!$G30</f>
        <v>10.382513661202186</v>
      </c>
      <c r="I30" s="29">
        <f>Recomendador!$K30/Recomendador!$G30</f>
        <v>2.459016393442623</v>
      </c>
      <c r="J30" s="31">
        <f>10*AVERAGE(Recomendador!$H30:$I30)</f>
        <v>64.207650273224047</v>
      </c>
      <c r="K30" s="15">
        <f>VLOOKUP(Recomendador!$C30,Rendiment[],6,FALSE)</f>
        <v>450</v>
      </c>
      <c r="L30" s="16">
        <f>VLOOKUP(Recomendador!$C30,GPU[],10,FALSE)</f>
        <v>1900</v>
      </c>
      <c r="M30" s="148"/>
      <c r="N30" s="2" t="s">
        <v>43</v>
      </c>
      <c r="O30" s="2" t="s">
        <v>52</v>
      </c>
      <c r="P30" s="2" t="s">
        <v>51</v>
      </c>
      <c r="Q30" s="2" t="s">
        <v>1</v>
      </c>
      <c r="R30" s="2" t="s">
        <v>53</v>
      </c>
      <c r="S30" s="2" t="s">
        <v>3</v>
      </c>
      <c r="T30" s="2" t="s">
        <v>49</v>
      </c>
      <c r="U30" s="2" t="s">
        <v>10</v>
      </c>
      <c r="V30" s="2" t="s">
        <v>55</v>
      </c>
      <c r="W30" s="2" t="s">
        <v>7</v>
      </c>
    </row>
    <row r="31" spans="3:23" ht="34.799999999999997" customHeight="1" thickBot="1" x14ac:dyDescent="0.35">
      <c r="N31" s="12" t="s">
        <v>27</v>
      </c>
      <c r="O31" s="26">
        <f>GPU_Nvidia56813[[#This Row],[Preu]]/GPU_Nvidia56813[[#This Row],[Rendiment]]</f>
        <v>6.1818181818181817</v>
      </c>
      <c r="P31" s="29">
        <f>GPU_Nvidia56813[[#This Row],[Cosnum]]/GPU_Nvidia56813[[#This Row],[Rendiment]]</f>
        <v>2.7272727272727271</v>
      </c>
      <c r="Q31" s="14">
        <f>VLOOKUP(GPU_Nvidia56813[[#This Row],[GPU]],Recomendador!$C$4:$L$30,2,FALSE)</f>
        <v>16</v>
      </c>
      <c r="R31" s="13" t="str">
        <f>VLOOKUP(GPU_Nvidia56813[[#This Row],[GPU]],Recomendador!$C$4:$L$30,3,FALSE)</f>
        <v>NO</v>
      </c>
      <c r="S31" s="13" t="str">
        <f>VLOOKUP(GPU_Nvidia56813[[#This Row],[GPU]],Recomendador!$C$4:$L$30,4,FALSE)</f>
        <v>SI</v>
      </c>
      <c r="T31" s="24">
        <f>VLOOKUP(GPU_Nvidia56813[[#This Row],[GPU]],Recomendador!$C$4:$L$30,5,FALSE)</f>
        <v>110</v>
      </c>
      <c r="U31" s="15">
        <f>VLOOKUP(GPU_Nvidia56813[[#This Row],[GPU]],Recomendador!$C$4:$L$30,9,FALSE)</f>
        <v>300</v>
      </c>
      <c r="V31" s="34">
        <f>INT(GPU_Nvidia56813[[#This Row],[€/FPS]]+GPU_Nvidia56813[[#This Row],[W/FPS]])/2*10</f>
        <v>40</v>
      </c>
      <c r="W31" s="16">
        <f>VLOOKUP(GPU_Nvidia56813[[#This Row],[GPU]],Recomendador!$C$4:$L$30,10,FALSE)</f>
        <v>680</v>
      </c>
    </row>
    <row r="32" spans="3:23" ht="34.799999999999997" customHeight="1" x14ac:dyDescent="0.3">
      <c r="C32" s="168" t="str">
        <f>_xlfn.CONCAT("Comparació entre: ", C34, " i ",C35)</f>
        <v>Comparació entre: AMD RX 6400 i Nvidia RTX 4090</v>
      </c>
      <c r="D32" s="169"/>
      <c r="E32" s="169"/>
      <c r="F32" s="169"/>
      <c r="G32" s="169"/>
      <c r="H32" s="169"/>
      <c r="I32" s="169"/>
      <c r="J32" s="169"/>
      <c r="K32" s="169"/>
      <c r="L32" s="170"/>
      <c r="N32" s="12" t="s">
        <v>28</v>
      </c>
      <c r="O32" s="26">
        <f>GPU_Nvidia56813[[#This Row],[Preu]]/GPU_Nvidia56813[[#This Row],[Rendiment]]</f>
        <v>7.1428571428571432</v>
      </c>
      <c r="P32" s="29">
        <f>GPU_Nvidia56813[[#This Row],[Cosnum]]/GPU_Nvidia56813[[#This Row],[Rendiment]]</f>
        <v>2.5555555555555554</v>
      </c>
      <c r="Q32" s="14">
        <f>VLOOKUP(GPU_Nvidia56813[[#This Row],[GPU]],Recomendador!$C$4:$L$30,2,FALSE)</f>
        <v>16</v>
      </c>
      <c r="R32" s="13" t="str">
        <f>VLOOKUP(GPU_Nvidia56813[[#This Row],[GPU]],Recomendador!$C$4:$L$30,3,FALSE)</f>
        <v>NO</v>
      </c>
      <c r="S32" s="13" t="str">
        <f>VLOOKUP(GPU_Nvidia56813[[#This Row],[GPU]],Recomendador!$C$4:$L$30,4,FALSE)</f>
        <v>SI</v>
      </c>
      <c r="T32" s="24">
        <f>VLOOKUP(GPU_Nvidia56813[[#This Row],[GPU]],Recomendador!$C$4:$L$30,5,FALSE)</f>
        <v>126</v>
      </c>
      <c r="U32" s="15">
        <f>VLOOKUP(GPU_Nvidia56813[[#This Row],[GPU]],Recomendador!$C$4:$L$30,9,FALSE)</f>
        <v>322</v>
      </c>
      <c r="V32" s="35">
        <f>INT(GPU_Nvidia56813[[#This Row],[€/FPS]]+GPU_Nvidia56813[[#This Row],[W/FPS]])/2*10</f>
        <v>45</v>
      </c>
      <c r="W32" s="16">
        <f>VLOOKUP(GPU_Nvidia56813[[#This Row],[GPU]],Recomendador!$C$4:$L$30,10,FALSE)</f>
        <v>900</v>
      </c>
    </row>
    <row r="33" spans="3:23" ht="34.799999999999997" customHeight="1" x14ac:dyDescent="0.3">
      <c r="C33" s="48" t="s">
        <v>13</v>
      </c>
      <c r="D33" s="49" t="s">
        <v>56</v>
      </c>
      <c r="E33" s="49" t="s">
        <v>53</v>
      </c>
      <c r="F33" s="49" t="s">
        <v>57</v>
      </c>
      <c r="G33" s="49" t="s">
        <v>49</v>
      </c>
      <c r="H33" s="49" t="s">
        <v>52</v>
      </c>
      <c r="I33" s="49" t="s">
        <v>51</v>
      </c>
      <c r="J33" s="49" t="s">
        <v>58</v>
      </c>
      <c r="K33" s="49" t="s">
        <v>50</v>
      </c>
      <c r="L33" s="50" t="s">
        <v>7</v>
      </c>
      <c r="N33" s="12" t="s">
        <v>29</v>
      </c>
      <c r="O33" s="26">
        <f>GPU_Nvidia56813[[#This Row],[Preu]]/GPU_Nvidia56813[[#This Row],[Rendiment]]</f>
        <v>7.4482758620689653</v>
      </c>
      <c r="P33" s="29">
        <f>GPU_Nvidia56813[[#This Row],[Cosnum]]/GPU_Nvidia56813[[#This Row],[Rendiment]]</f>
        <v>2.4137931034482758</v>
      </c>
      <c r="Q33" s="14">
        <f>VLOOKUP(GPU_Nvidia56813[[#This Row],[GPU]],Recomendador!$C$4:$L$30,2,FALSE)</f>
        <v>16</v>
      </c>
      <c r="R33" s="13" t="str">
        <f>VLOOKUP(GPU_Nvidia56813[[#This Row],[GPU]],Recomendador!$C$4:$L$30,3,FALSE)</f>
        <v>NO</v>
      </c>
      <c r="S33" s="13" t="str">
        <f>VLOOKUP(GPU_Nvidia56813[[#This Row],[GPU]],Recomendador!$C$4:$L$30,4,FALSE)</f>
        <v>SI</v>
      </c>
      <c r="T33" s="24">
        <f>VLOOKUP(GPU_Nvidia56813[[#This Row],[GPU]],Recomendador!$C$4:$L$30,5,FALSE)</f>
        <v>145</v>
      </c>
      <c r="U33" s="15">
        <f>VLOOKUP(GPU_Nvidia56813[[#This Row],[GPU]],Recomendador!$C$4:$L$30,9,FALSE)</f>
        <v>350</v>
      </c>
      <c r="V33" s="35">
        <f>INT(GPU_Nvidia56813[[#This Row],[€/FPS]]+GPU_Nvidia56813[[#This Row],[W/FPS]])/2*10</f>
        <v>45</v>
      </c>
      <c r="W33" s="16">
        <f>VLOOKUP(GPU_Nvidia56813[[#This Row],[GPU]],Recomendador!$C$4:$L$30,10,FALSE)</f>
        <v>1080</v>
      </c>
    </row>
    <row r="34" spans="3:23" ht="34.799999999999997" customHeight="1" x14ac:dyDescent="0.3">
      <c r="C34" s="46" t="s">
        <v>18</v>
      </c>
      <c r="D34" s="42">
        <f>IFERROR(VLOOKUP($C$34,Recomendador!$C$4:$L$30,2,FALSE),"")</f>
        <v>4</v>
      </c>
      <c r="E34" s="40" t="str">
        <f>IFERROR(VLOOKUP($C$34,Recomendador!$C$4:$L$30,3,FALSE),"")</f>
        <v>NO</v>
      </c>
      <c r="F34" s="40" t="str">
        <f>IFERROR(VLOOKUP($C$34,Recomendador!$C$4:$L$30,4,FALSE),"")</f>
        <v>NO</v>
      </c>
      <c r="G34" s="41">
        <f>IFERROR(VLOOKUP($C$34,Recomendador!$C$4:$L$30,5,FALSE),"")</f>
        <v>27</v>
      </c>
      <c r="H34" s="43">
        <f>IFERROR(VLOOKUP($C$34,Recomendador!$C$4:$L$30,6,FALSE),"")</f>
        <v>6.2962962962962967</v>
      </c>
      <c r="I34" s="44">
        <f>IFERROR(VLOOKUP($C$34,Recomendador!$C$4:$L$30,7,FALSE),"")</f>
        <v>1.962962962962963</v>
      </c>
      <c r="J34" s="147">
        <f>IFERROR(VLOOKUP($C$34,Recomendador!$C$4:$L$30,8,FALSE),"")</f>
        <v>41.296296296296298</v>
      </c>
      <c r="K34" s="45">
        <f>IFERROR(VLOOKUP($C$34,Recomendador!$C$4:$L$30,9,FALSE),"")</f>
        <v>53</v>
      </c>
      <c r="L34" s="47">
        <f>IFERROR(VLOOKUP($C$34,Recomendador!$C$4:$L$30,10,FALSE),"")</f>
        <v>170</v>
      </c>
      <c r="N34" s="17" t="s">
        <v>47</v>
      </c>
      <c r="O34" s="21">
        <f>GPU_Nvidia56813[[#This Row],[Preu]]/GPU_Nvidia56813[[#This Row],[Rendiment]]</f>
        <v>6.7677419354838708</v>
      </c>
      <c r="P34" s="22">
        <f>GPU_Nvidia56813[[#This Row],[Cosnum]]/GPU_Nvidia56813[[#This Row],[Rendiment]]</f>
        <v>2.1354838709677417</v>
      </c>
      <c r="Q34" s="14">
        <f>VLOOKUP(GPU_Nvidia56813[[#This Row],[GPU]],Recomendador!$C$4:$L$30,2,FALSE)</f>
        <v>20</v>
      </c>
      <c r="R34" s="13" t="str">
        <f>VLOOKUP(GPU_Nvidia56813[[#This Row],[GPU]],Recomendador!$C$4:$L$30,3,FALSE)</f>
        <v>NO</v>
      </c>
      <c r="S34" s="13" t="str">
        <f>VLOOKUP(GPU_Nvidia56813[[#This Row],[GPU]],Recomendador!$C$4:$L$30,4,FALSE)</f>
        <v>SI</v>
      </c>
      <c r="T34" s="24">
        <f>VLOOKUP(GPU_Nvidia56813[[#This Row],[GPU]],Recomendador!$C$4:$L$30,5,FALSE)</f>
        <v>155</v>
      </c>
      <c r="U34" s="15">
        <f>VLOOKUP(GPU_Nvidia56813[[#This Row],[GPU]],Recomendador!$C$4:$L$30,9,FALSE)</f>
        <v>331</v>
      </c>
      <c r="V34" s="35">
        <f>INT(GPU_Nvidia56813[[#This Row],[€/FPS]]+GPU_Nvidia56813[[#This Row],[W/FPS]])/2*10</f>
        <v>40</v>
      </c>
      <c r="W34" s="16">
        <f>VLOOKUP(GPU_Nvidia56813[[#This Row],[GPU]],Recomendador!$C$4:$L$30,10,FALSE)</f>
        <v>1049</v>
      </c>
    </row>
    <row r="35" spans="3:23" ht="34.799999999999997" customHeight="1" x14ac:dyDescent="0.3">
      <c r="C35" s="51" t="s">
        <v>42</v>
      </c>
      <c r="D35" s="52">
        <f>IFERROR(VLOOKUP($C$35,Recomendador!$C$4:$L$30,2,FALSE),"")</f>
        <v>24</v>
      </c>
      <c r="E35" s="53" t="str">
        <f>IFERROR(VLOOKUP($C$35,Recomendador!$C$4:$L$30,3,FALSE),"")</f>
        <v>SI</v>
      </c>
      <c r="F35" s="53" t="str">
        <f>IFERROR(VLOOKUP($C$35,Recomendador!$C$4:$L$30,4,FALSE),"")</f>
        <v>SI</v>
      </c>
      <c r="G35" s="54">
        <f>IFERROR(VLOOKUP($C$35,Recomendador!$C$4:$L$30,5,FALSE),"")</f>
        <v>183</v>
      </c>
      <c r="H35" s="55">
        <f>IFERROR(VLOOKUP($C$35,Recomendador!$C$4:$L$30,6,FALSE),"")</f>
        <v>10.382513661202186</v>
      </c>
      <c r="I35" s="56">
        <f>IFERROR(VLOOKUP($C$35,Recomendador!$C$4:$L$30,7,FALSE),"")</f>
        <v>2.459016393442623</v>
      </c>
      <c r="J35" s="57">
        <f>IFERROR(VLOOKUP($C$35,Recomendador!$C$4:$L$30,8,FALSE),"")</f>
        <v>64.207650273224047</v>
      </c>
      <c r="K35" s="58">
        <f>IFERROR(VLOOKUP($C$35,Recomendador!$C$4:$L$30,9,FALSE),"")</f>
        <v>450</v>
      </c>
      <c r="L35" s="59">
        <f>IFERROR(VLOOKUP($C$35,Recomendador!$C$4:$L$30,10,FALSE),"")</f>
        <v>1900</v>
      </c>
      <c r="N35" s="17" t="s">
        <v>46</v>
      </c>
      <c r="O35" s="21">
        <f>GPU_Nvidia56813[[#This Row],[Preu]]/GPU_Nvidia56813[[#This Row],[Rendiment]]</f>
        <v>7.6704545454545459</v>
      </c>
      <c r="P35" s="22">
        <f>GPU_Nvidia56813[[#This Row],[Cosnum]]/GPU_Nvidia56813[[#This Row],[Rendiment]]</f>
        <v>2.3863636363636362</v>
      </c>
      <c r="Q35" s="14">
        <f>VLOOKUP(GPU_Nvidia56813[[#This Row],[GPU]],Recomendador!$C$4:$L$30,2,FALSE)</f>
        <v>24</v>
      </c>
      <c r="R35" s="13" t="str">
        <f>VLOOKUP(GPU_Nvidia56813[[#This Row],[GPU]],Recomendador!$C$4:$L$30,3,FALSE)</f>
        <v>NO</v>
      </c>
      <c r="S35" s="13" t="str">
        <f>VLOOKUP(GPU_Nvidia56813[[#This Row],[GPU]],Recomendador!$C$4:$L$30,4,FALSE)</f>
        <v>SI</v>
      </c>
      <c r="T35" s="24">
        <f>VLOOKUP(GPU_Nvidia56813[[#This Row],[GPU]],Recomendador!$C$4:$L$30,5,FALSE)</f>
        <v>176</v>
      </c>
      <c r="U35" s="15">
        <f>VLOOKUP(GPU_Nvidia56813[[#This Row],[GPU]],Recomendador!$C$4:$L$30,9,FALSE)</f>
        <v>420</v>
      </c>
      <c r="V35" s="35">
        <f>INT(GPU_Nvidia56813[[#This Row],[€/FPS]]+GPU_Nvidia56813[[#This Row],[W/FPS]])/2*10</f>
        <v>50</v>
      </c>
      <c r="W35" s="16">
        <f>VLOOKUP(GPU_Nvidia56813[[#This Row],[GPU]],Recomendador!$C$4:$L$30,10,FALSE)</f>
        <v>1350</v>
      </c>
    </row>
    <row r="36" spans="3:23" ht="34.799999999999997" customHeight="1" thickBot="1" x14ac:dyDescent="0.35">
      <c r="C36" s="88"/>
      <c r="D36" s="52" t="str">
        <f>IF(D34=D35,"",IF(D35&gt;D34,_xlfn.CONCAT($C$35),_xlfn.CONCAT($C$34)))</f>
        <v>Nvidia RTX 4090</v>
      </c>
      <c r="E36" s="52" t="str" cm="1">
        <f t="array" ref="E36">IFERROR(_xlfn.IFS((AND(E34="SI",E35="SI")),"",(AND(E34="NO",E35="NO")),"",E34="SI",_xlfn.CONCAT($C$34),E35="SI",_xlfn.CONCAT($C$35)),"")</f>
        <v>Nvidia RTX 4090</v>
      </c>
      <c r="F36" s="52" t="str" cm="1">
        <f t="array" ref="F36">IFERROR(_xlfn.IFS((AND(F34="SI",F35="SI")),"",(AND(F34="NO",F35="NO")),"",F34="SI",_xlfn.CONCAT($C$34),F35="SI",_xlfn.CONCAT($C$35)),"")</f>
        <v>Nvidia RTX 4090</v>
      </c>
      <c r="G36" s="52" t="str">
        <f t="shared" ref="G36" si="0">IF(G35&gt;G34,_xlfn.CONCAT($C$35),_xlfn.CONCAT($C$34))</f>
        <v>Nvidia RTX 4090</v>
      </c>
      <c r="H36" s="52" t="str">
        <f>IF(H35=H34,"",IF(H35&lt;H34,_xlfn.CONCAT($C$35),_xlfn.CONCAT($C$34)))</f>
        <v>AMD RX 6400</v>
      </c>
      <c r="I36" s="52" t="str">
        <f>IF(I35=I34,"",IF(I35&lt;I34,_xlfn.CONCAT($C$35),_xlfn.CONCAT($C$34)))</f>
        <v>AMD RX 6400</v>
      </c>
      <c r="J36" s="52" t="str">
        <f>IF(J35=J34,"",IF(J35&lt;J34,_xlfn.CONCAT($C$35),_xlfn.CONCAT($C$34)))</f>
        <v>AMD RX 6400</v>
      </c>
      <c r="K36" s="52" t="str">
        <f>IF(K35=K34,"",IF(K35&lt;K34,_xlfn.CONCAT($C$35),_xlfn.CONCAT($C$34)))</f>
        <v>AMD RX 6400</v>
      </c>
      <c r="L36" s="52" t="str">
        <f>IF(L35=L34,"",IF(L35&lt;L34,_xlfn.CONCAT($C$35),_xlfn.CONCAT($C$34)))</f>
        <v>AMD RX 6400</v>
      </c>
      <c r="N36" s="17" t="s">
        <v>37</v>
      </c>
      <c r="O36" s="21">
        <f>GPU_Nvidia56813[[#This Row],[Preu]]/GPU_Nvidia56813[[#This Row],[Rendiment]]</f>
        <v>8.2474226804123703</v>
      </c>
      <c r="P36" s="22">
        <f>GPU_Nvidia56813[[#This Row],[Cosnum]]/GPU_Nvidia56813[[#This Row],[Rendiment]]</f>
        <v>3.2989690721649483</v>
      </c>
      <c r="Q36" s="14">
        <f>VLOOKUP(GPU_Nvidia56813[[#This Row],[GPU]],Recomendador!$C$4:$L$30,2,FALSE)</f>
        <v>10</v>
      </c>
      <c r="R36" s="13" t="str">
        <f>VLOOKUP(GPU_Nvidia56813[[#This Row],[GPU]],Recomendador!$C$4:$L$30,3,FALSE)</f>
        <v>SI</v>
      </c>
      <c r="S36" s="13" t="str">
        <f>VLOOKUP(GPU_Nvidia56813[[#This Row],[GPU]],Recomendador!$C$4:$L$30,4,FALSE)</f>
        <v>SI</v>
      </c>
      <c r="T36" s="24">
        <f>VLOOKUP(GPU_Nvidia56813[[#This Row],[GPU]],Recomendador!$C$4:$L$30,5,FALSE)</f>
        <v>97</v>
      </c>
      <c r="U36" s="15">
        <f>VLOOKUP(GPU_Nvidia56813[[#This Row],[GPU]],Recomendador!$C$4:$L$30,9,FALSE)</f>
        <v>320</v>
      </c>
      <c r="V36" s="35">
        <f>INT(GPU_Nvidia56813[[#This Row],[€/FPS]]+GPU_Nvidia56813[[#This Row],[W/FPS]])/2*10</f>
        <v>55</v>
      </c>
      <c r="W36" s="16">
        <f>VLOOKUP(GPU_Nvidia56813[[#This Row],[GPU]],Recomendador!$C$4:$L$30,10,FALSE)</f>
        <v>800</v>
      </c>
    </row>
    <row r="37" spans="3:23" ht="34.799999999999997" customHeight="1" thickBot="1" x14ac:dyDescent="0.35">
      <c r="C37" s="165" t="str">
        <f>IF(COUNTIF(D36:L36,C34)&gt;COUNTIF(D36:L36,C35),_xlfn.CONCAT("Més Recomanable:", C34),_xlfn.CONCAT("Més Recomanable:",C35))</f>
        <v>Més Recomanable:AMD RX 6400</v>
      </c>
      <c r="D37" s="166"/>
      <c r="E37" s="166"/>
      <c r="F37" s="166"/>
      <c r="G37" s="166"/>
      <c r="H37" s="166"/>
      <c r="I37" s="166"/>
      <c r="J37" s="166"/>
      <c r="K37" s="166"/>
      <c r="L37" s="167"/>
      <c r="N37" s="17" t="s">
        <v>38</v>
      </c>
      <c r="O37" s="21">
        <f>GPU_Nvidia56813[[#This Row],[Preu]]/GPU_Nvidia56813[[#This Row],[Rendiment]]</f>
        <v>9.7410714285714288</v>
      </c>
      <c r="P37" s="22">
        <f>GPU_Nvidia56813[[#This Row],[Cosnum]]/GPU_Nvidia56813[[#This Row],[Rendiment]]</f>
        <v>3.125</v>
      </c>
      <c r="Q37" s="14">
        <f>VLOOKUP(GPU_Nvidia56813[[#This Row],[GPU]],Recomendador!$C$4:$L$30,2,FALSE)</f>
        <v>12</v>
      </c>
      <c r="R37" s="13" t="str">
        <f>VLOOKUP(GPU_Nvidia56813[[#This Row],[GPU]],Recomendador!$C$4:$L$30,3,FALSE)</f>
        <v>SI</v>
      </c>
      <c r="S37" s="13" t="str">
        <f>VLOOKUP(GPU_Nvidia56813[[#This Row],[GPU]],Recomendador!$C$4:$L$30,4,FALSE)</f>
        <v>SI</v>
      </c>
      <c r="T37" s="24">
        <f>VLOOKUP(GPU_Nvidia56813[[#This Row],[GPU]],Recomendador!$C$4:$L$30,5,FALSE)</f>
        <v>112</v>
      </c>
      <c r="U37" s="15">
        <f>VLOOKUP(GPU_Nvidia56813[[#This Row],[GPU]],Recomendador!$C$4:$L$30,9,FALSE)</f>
        <v>350</v>
      </c>
      <c r="V37" s="35">
        <f>INT(GPU_Nvidia56813[[#This Row],[€/FPS]]+GPU_Nvidia56813[[#This Row],[W/FPS]])/2*10</f>
        <v>60</v>
      </c>
      <c r="W37" s="16">
        <f>VLOOKUP(GPU_Nvidia56813[[#This Row],[GPU]],Recomendador!$C$4:$L$30,10,FALSE)</f>
        <v>1091</v>
      </c>
    </row>
    <row r="38" spans="3:23" ht="34.799999999999997" customHeight="1" x14ac:dyDescent="0.3">
      <c r="N38" s="17" t="s">
        <v>39</v>
      </c>
      <c r="O38" s="21">
        <f>GPU_Nvidia56813[[#This Row],[Preu]]/GPU_Nvidia56813[[#This Row],[Rendiment]]</f>
        <v>9.67741935483871</v>
      </c>
      <c r="P38" s="22">
        <f>GPU_Nvidia56813[[#This Row],[Cosnum]]/GPU_Nvidia56813[[#This Row],[Rendiment]]</f>
        <v>3.629032258064516</v>
      </c>
      <c r="Q38" s="14">
        <f>VLOOKUP(GPU_Nvidia56813[[#This Row],[GPU]],Recomendador!$C$4:$L$30,2,FALSE)</f>
        <v>12</v>
      </c>
      <c r="R38" s="13" t="str">
        <f>VLOOKUP(GPU_Nvidia56813[[#This Row],[GPU]],Recomendador!$C$4:$L$30,3,FALSE)</f>
        <v>SI</v>
      </c>
      <c r="S38" s="13" t="str">
        <f>VLOOKUP(GPU_Nvidia56813[[#This Row],[GPU]],Recomendador!$C$4:$L$30,4,FALSE)</f>
        <v>SI</v>
      </c>
      <c r="T38" s="24">
        <f>VLOOKUP(GPU_Nvidia56813[[#This Row],[GPU]],Recomendador!$C$4:$L$30,5,FALSE)</f>
        <v>124</v>
      </c>
      <c r="U38" s="15">
        <f>VLOOKUP(GPU_Nvidia56813[[#This Row],[GPU]],Recomendador!$C$4:$L$30,9,FALSE)</f>
        <v>450</v>
      </c>
      <c r="V38" s="35">
        <f>INT(GPU_Nvidia56813[[#This Row],[€/FPS]]+GPU_Nvidia56813[[#This Row],[W/FPS]])/2*10</f>
        <v>65</v>
      </c>
      <c r="W38" s="16">
        <f>VLOOKUP(GPU_Nvidia56813[[#This Row],[GPU]],Recomendador!$C$4:$L$30,10,FALSE)</f>
        <v>1200</v>
      </c>
    </row>
    <row r="39" spans="3:23" ht="34.799999999999997" customHeight="1" x14ac:dyDescent="0.3">
      <c r="N39" s="17" t="s">
        <v>40</v>
      </c>
      <c r="O39" s="21">
        <f>GPU_Nvidia56813[[#This Row],[Preu]]/GPU_Nvidia56813[[#This Row],[Rendiment]]</f>
        <v>11.278195488721805</v>
      </c>
      <c r="P39" s="22">
        <f>GPU_Nvidia56813[[#This Row],[Cosnum]]/GPU_Nvidia56813[[#This Row],[Rendiment]]</f>
        <v>3.3834586466165413</v>
      </c>
      <c r="Q39" s="14">
        <f>VLOOKUP(GPU_Nvidia56813[[#This Row],[GPU]],Recomendador!$C$4:$L$30,2,FALSE)</f>
        <v>16</v>
      </c>
      <c r="R39" s="13" t="str">
        <f>VLOOKUP(GPU_Nvidia56813[[#This Row],[GPU]],Recomendador!$C$4:$L$30,3,FALSE)</f>
        <v>SI</v>
      </c>
      <c r="S39" s="13" t="str">
        <f>VLOOKUP(GPU_Nvidia56813[[#This Row],[GPU]],Recomendador!$C$4:$L$30,4,FALSE)</f>
        <v>SI</v>
      </c>
      <c r="T39" s="24">
        <f>VLOOKUP(GPU_Nvidia56813[[#This Row],[GPU]],Recomendador!$C$4:$L$30,5,FALSE)</f>
        <v>133</v>
      </c>
      <c r="U39" s="15">
        <f>VLOOKUP(GPU_Nvidia56813[[#This Row],[GPU]],Recomendador!$C$4:$L$30,9,FALSE)</f>
        <v>450</v>
      </c>
      <c r="V39" s="35">
        <f>INT(GPU_Nvidia56813[[#This Row],[€/FPS]]+GPU_Nvidia56813[[#This Row],[W/FPS]])/2*10</f>
        <v>70</v>
      </c>
      <c r="W39" s="16">
        <f>VLOOKUP(GPU_Nvidia56813[[#This Row],[GPU]],Recomendador!$C$4:$L$30,10,FALSE)</f>
        <v>1500</v>
      </c>
    </row>
    <row r="40" spans="3:23" ht="34.799999999999997" customHeight="1" x14ac:dyDescent="0.3">
      <c r="N40" s="17" t="s">
        <v>41</v>
      </c>
      <c r="O40" s="21">
        <f>GPU_Nvidia56813[[#This Row],[Preu]]/GPU_Nvidia56813[[#This Row],[Rendiment]]</f>
        <v>10.333333333333334</v>
      </c>
      <c r="P40" s="22">
        <f>GPU_Nvidia56813[[#This Row],[Cosnum]]/GPU_Nvidia56813[[#This Row],[Rendiment]]</f>
        <v>2.1333333333333333</v>
      </c>
      <c r="Q40" s="14">
        <f>VLOOKUP(GPU_Nvidia56813[[#This Row],[GPU]],Recomendador!$C$4:$L$30,2,FALSE)</f>
        <v>16</v>
      </c>
      <c r="R40" s="13" t="str">
        <f>VLOOKUP(GPU_Nvidia56813[[#This Row],[GPU]],Recomendador!$C$4:$L$30,3,FALSE)</f>
        <v>SI</v>
      </c>
      <c r="S40" s="13" t="str">
        <f>VLOOKUP(GPU_Nvidia56813[[#This Row],[GPU]],Recomendador!$C$4:$L$30,4,FALSE)</f>
        <v>SI</v>
      </c>
      <c r="T40" s="24">
        <f>VLOOKUP(GPU_Nvidia56813[[#This Row],[GPU]],Recomendador!$C$4:$L$30,5,FALSE)</f>
        <v>150</v>
      </c>
      <c r="U40" s="15">
        <f>VLOOKUP(GPU_Nvidia56813[[#This Row],[GPU]],Recomendador!$C$4:$L$30,9,FALSE)</f>
        <v>320</v>
      </c>
      <c r="V40" s="35">
        <f>INT(GPU_Nvidia56813[[#This Row],[€/FPS]]+GPU_Nvidia56813[[#This Row],[W/FPS]])/2*10</f>
        <v>60</v>
      </c>
      <c r="W40" s="16">
        <f>VLOOKUP(GPU_Nvidia56813[[#This Row],[GPU]],Recomendador!$C$4:$L$30,10,FALSE)</f>
        <v>1550</v>
      </c>
    </row>
    <row r="41" spans="3:23" ht="34.799999999999997" customHeight="1" x14ac:dyDescent="0.3">
      <c r="C41" s="128"/>
      <c r="D41" s="128"/>
      <c r="E41" s="128"/>
      <c r="F41" s="128"/>
      <c r="G41" s="127"/>
      <c r="H41" s="127"/>
      <c r="I41" s="127"/>
      <c r="J41" s="127"/>
      <c r="K41" s="127"/>
      <c r="L41" s="127"/>
      <c r="N41" s="12" t="s">
        <v>42</v>
      </c>
      <c r="O41" s="26">
        <f>GPU_Nvidia56813[[#This Row],[Preu]]/GPU_Nvidia56813[[#This Row],[Rendiment]]</f>
        <v>10.382513661202186</v>
      </c>
      <c r="P41" s="29">
        <f>GPU_Nvidia56813[[#This Row],[Cosnum]]/GPU_Nvidia56813[[#This Row],[Rendiment]]</f>
        <v>2.459016393442623</v>
      </c>
      <c r="Q41" s="14">
        <f>VLOOKUP(GPU_Nvidia56813[[#This Row],[GPU]],Recomendador!$C$4:$L$30,2,FALSE)</f>
        <v>24</v>
      </c>
      <c r="R41" s="13" t="str">
        <f>VLOOKUP(GPU_Nvidia56813[[#This Row],[GPU]],Recomendador!$C$4:$L$30,3,FALSE)</f>
        <v>SI</v>
      </c>
      <c r="S41" s="13" t="str">
        <f>VLOOKUP(GPU_Nvidia56813[[#This Row],[GPU]],Recomendador!$C$4:$L$30,4,FALSE)</f>
        <v>SI</v>
      </c>
      <c r="T41" s="24">
        <f>VLOOKUP(GPU_Nvidia56813[[#This Row],[GPU]],Recomendador!$C$4:$L$30,5,FALSE)</f>
        <v>183</v>
      </c>
      <c r="U41" s="15">
        <f>VLOOKUP(GPU_Nvidia56813[[#This Row],[GPU]],Recomendador!$C$4:$L$30,9,FALSE)</f>
        <v>450</v>
      </c>
      <c r="V41" s="33">
        <f>INT(GPU_Nvidia56813[[#This Row],[€/FPS]]+GPU_Nvidia56813[[#This Row],[W/FPS]])/2*10</f>
        <v>60</v>
      </c>
      <c r="W41" s="16">
        <f>VLOOKUP(GPU_Nvidia56813[[#This Row],[GPU]],Recomendador!$C$4:$L$30,10,FALSE)</f>
        <v>1900</v>
      </c>
    </row>
    <row r="42" spans="3:23" ht="34.799999999999997" customHeight="1" x14ac:dyDescent="0.3"/>
    <row r="43" spans="3:23" ht="34.799999999999997" customHeight="1" thickBot="1" x14ac:dyDescent="0.35"/>
    <row r="44" spans="3:23" ht="34.799999999999997" customHeight="1" thickBot="1" x14ac:dyDescent="0.35">
      <c r="C44" s="158" t="s">
        <v>84</v>
      </c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60"/>
    </row>
    <row r="45" spans="3:23" ht="34.799999999999997" customHeight="1" x14ac:dyDescent="0.3">
      <c r="C45" s="163" t="s">
        <v>68</v>
      </c>
      <c r="D45" s="164"/>
      <c r="E45" s="163" t="s">
        <v>69</v>
      </c>
      <c r="F45" s="164"/>
      <c r="G45" s="163" t="s">
        <v>70</v>
      </c>
      <c r="H45" s="164"/>
      <c r="I45" s="161" t="s">
        <v>71</v>
      </c>
      <c r="J45" s="162"/>
      <c r="K45" s="161" t="s">
        <v>72</v>
      </c>
      <c r="L45" s="162"/>
      <c r="M45" s="161" t="s">
        <v>87</v>
      </c>
      <c r="N45" s="162"/>
    </row>
    <row r="46" spans="3:23" ht="34.799999999999997" customHeight="1" x14ac:dyDescent="0.3">
      <c r="C46" s="129" t="s">
        <v>77</v>
      </c>
      <c r="D46" s="130">
        <v>24</v>
      </c>
      <c r="E46" s="129" t="s">
        <v>77</v>
      </c>
      <c r="F46" s="130">
        <v>9</v>
      </c>
      <c r="G46" s="129" t="s">
        <v>53</v>
      </c>
      <c r="H46" s="130">
        <v>21</v>
      </c>
      <c r="I46" s="129" t="s">
        <v>81</v>
      </c>
      <c r="J46" s="131">
        <v>17</v>
      </c>
      <c r="K46" s="129" t="s">
        <v>74</v>
      </c>
      <c r="L46" s="130">
        <v>2</v>
      </c>
      <c r="M46" s="129" t="s">
        <v>83</v>
      </c>
      <c r="N46" s="130">
        <v>1</v>
      </c>
    </row>
    <row r="47" spans="3:23" ht="34.799999999999997" customHeight="1" x14ac:dyDescent="0.3">
      <c r="C47" s="132" t="s">
        <v>78</v>
      </c>
      <c r="D47" s="133">
        <v>0</v>
      </c>
      <c r="E47" s="132" t="s">
        <v>78</v>
      </c>
      <c r="F47" s="133">
        <v>15</v>
      </c>
      <c r="G47" s="132" t="s">
        <v>80</v>
      </c>
      <c r="H47" s="133">
        <v>3</v>
      </c>
      <c r="I47" s="132" t="s">
        <v>82</v>
      </c>
      <c r="J47" s="134">
        <v>7</v>
      </c>
      <c r="K47" s="132" t="s">
        <v>73</v>
      </c>
      <c r="L47" s="133">
        <v>18</v>
      </c>
      <c r="M47" s="132" t="s">
        <v>62</v>
      </c>
      <c r="N47" s="133">
        <v>22</v>
      </c>
    </row>
    <row r="48" spans="3:23" ht="34.799999999999997" customHeight="1" x14ac:dyDescent="0.3">
      <c r="C48" s="129" t="s">
        <v>79</v>
      </c>
      <c r="D48" s="130">
        <v>6</v>
      </c>
      <c r="E48" s="129" t="s">
        <v>79</v>
      </c>
      <c r="F48" s="130">
        <v>6</v>
      </c>
      <c r="G48" s="129" t="s">
        <v>79</v>
      </c>
      <c r="H48" s="130">
        <v>6</v>
      </c>
      <c r="I48" s="129" t="s">
        <v>79</v>
      </c>
      <c r="J48" s="131">
        <v>6</v>
      </c>
      <c r="K48" s="129" t="s">
        <v>75</v>
      </c>
      <c r="L48" s="130">
        <v>0</v>
      </c>
      <c r="M48" s="129" t="s">
        <v>63</v>
      </c>
      <c r="N48" s="130">
        <v>3</v>
      </c>
    </row>
    <row r="49" spans="3:14" ht="34.799999999999997" customHeight="1" x14ac:dyDescent="0.3">
      <c r="C49" s="132"/>
      <c r="D49" s="133"/>
      <c r="E49" s="134"/>
      <c r="F49" s="133"/>
      <c r="G49" s="134"/>
      <c r="H49" s="133"/>
      <c r="I49" s="134"/>
      <c r="J49" s="133"/>
      <c r="K49" s="132" t="s">
        <v>76</v>
      </c>
      <c r="L49" s="133">
        <v>8</v>
      </c>
      <c r="M49" s="132" t="s">
        <v>65</v>
      </c>
      <c r="N49" s="133">
        <v>4</v>
      </c>
    </row>
    <row r="50" spans="3:14" ht="34.799999999999997" customHeight="1" x14ac:dyDescent="0.3"/>
    <row r="51" spans="3:14" ht="34.799999999999997" customHeight="1" x14ac:dyDescent="0.3"/>
    <row r="52" spans="3:14" ht="34.799999999999997" customHeight="1" x14ac:dyDescent="0.3"/>
    <row r="53" spans="3:14" ht="34.799999999999997" customHeight="1" x14ac:dyDescent="0.3"/>
    <row r="54" spans="3:14" ht="34.799999999999997" customHeight="1" x14ac:dyDescent="0.3"/>
    <row r="55" spans="3:14" ht="34.799999999999997" customHeight="1" thickBot="1" x14ac:dyDescent="0.35"/>
    <row r="56" spans="3:14" ht="34.799999999999997" customHeight="1" thickBot="1" x14ac:dyDescent="0.35">
      <c r="C56" s="158" t="s">
        <v>66</v>
      </c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60"/>
    </row>
    <row r="57" spans="3:14" ht="34.799999999999997" customHeight="1" x14ac:dyDescent="0.3">
      <c r="C57" s="144" t="s">
        <v>13</v>
      </c>
      <c r="D57" s="145" t="s">
        <v>67</v>
      </c>
      <c r="E57" s="145" t="s">
        <v>85</v>
      </c>
      <c r="F57" s="145" t="s">
        <v>1</v>
      </c>
      <c r="G57" s="145" t="s">
        <v>57</v>
      </c>
      <c r="H57" s="145" t="s">
        <v>53</v>
      </c>
      <c r="I57" s="145" t="s">
        <v>49</v>
      </c>
      <c r="J57" s="145" t="s">
        <v>73</v>
      </c>
      <c r="K57" s="145" t="s">
        <v>86</v>
      </c>
      <c r="L57" s="145" t="s">
        <v>55</v>
      </c>
      <c r="M57" s="145" t="s">
        <v>50</v>
      </c>
      <c r="N57" s="146" t="s">
        <v>7</v>
      </c>
    </row>
    <row r="58" spans="3:14" ht="34.799999999999997" customHeight="1" x14ac:dyDescent="0.3">
      <c r="C58" s="135" t="s">
        <v>33</v>
      </c>
      <c r="D58" s="136" t="str">
        <f>VLOOKUP(C58,GPU[],8,FALSE)</f>
        <v>1920x1080</v>
      </c>
      <c r="E58" s="136" t="str">
        <f>LEFT(C58,6)</f>
        <v>Nvidia</v>
      </c>
      <c r="F58" s="137">
        <f>VLOOKUP(C58,GPU[],3,FALSE)</f>
        <v>12</v>
      </c>
      <c r="G58" s="136" t="str">
        <f>VLOOKUP($C$58,Recomendador!$C$4:$L$30,3,FALSE)</f>
        <v>SI</v>
      </c>
      <c r="H58" s="136" t="str">
        <f>VLOOKUP($C$58,Recomendador!$C$4:$L$30,4,FALSE)</f>
        <v>SI</v>
      </c>
      <c r="I58" s="138">
        <f>VLOOKUP($C$58,Recomendador!$C$4:$L$30,5,FALSE)</f>
        <v>48</v>
      </c>
      <c r="J58" s="139">
        <f>VLOOKUP($C$58,Recomendador!$C$4:$L$30,6,FALSE)</f>
        <v>7.708333333333333</v>
      </c>
      <c r="K58" s="140">
        <f>VLOOKUP($C$58,Recomendador!$C$4:$L$30,7,FALSE)</f>
        <v>3.5416666666666665</v>
      </c>
      <c r="L58" s="141">
        <f>VLOOKUP($C$58,Recomendador!$C$4:$L$30,8,FALSE)</f>
        <v>56.25</v>
      </c>
      <c r="M58" s="142">
        <f>VLOOKUP($C$58,Recomendador!$C$4:$L$30,9,FALSE)</f>
        <v>170</v>
      </c>
      <c r="N58" s="143">
        <f>VLOOKUP($C$58,Recomendador!$C$4:$L$30,10,FALSE)</f>
        <v>370</v>
      </c>
    </row>
    <row r="59" spans="3:14" ht="34.799999999999997" customHeight="1" x14ac:dyDescent="0.3"/>
    <row r="60" spans="3:14" ht="34.799999999999997" customHeight="1" x14ac:dyDescent="0.3"/>
    <row r="61" spans="3:14" ht="34.799999999999997" customHeight="1" x14ac:dyDescent="0.3"/>
    <row r="62" spans="3:14" ht="34.799999999999997" customHeight="1" x14ac:dyDescent="0.3"/>
    <row r="63" spans="3:14" ht="34.799999999999997" customHeight="1" x14ac:dyDescent="0.3"/>
    <row r="64" spans="3:14" ht="34.799999999999997" customHeight="1" x14ac:dyDescent="0.3"/>
    <row r="65" ht="34.799999999999997" customHeight="1" x14ac:dyDescent="0.3"/>
    <row r="66" ht="34.799999999999997" customHeight="1" x14ac:dyDescent="0.3"/>
    <row r="67" ht="34.799999999999997" customHeight="1" x14ac:dyDescent="0.3"/>
    <row r="68" ht="34.799999999999997" customHeight="1" x14ac:dyDescent="0.3"/>
    <row r="69" ht="34.799999999999997" customHeight="1" x14ac:dyDescent="0.3"/>
    <row r="70" ht="34.799999999999997" customHeight="1" x14ac:dyDescent="0.3"/>
    <row r="71" ht="34.799999999999997" customHeight="1" x14ac:dyDescent="0.3"/>
    <row r="72" ht="34.799999999999997" customHeight="1" x14ac:dyDescent="0.3"/>
    <row r="73" ht="34.799999999999997" customHeight="1" x14ac:dyDescent="0.3"/>
    <row r="74" ht="34.799999999999997" customHeight="1" x14ac:dyDescent="0.3"/>
    <row r="75" ht="34.799999999999997" customHeight="1" x14ac:dyDescent="0.3"/>
    <row r="76" ht="34.799999999999997" customHeight="1" x14ac:dyDescent="0.3"/>
    <row r="77" ht="34.799999999999997" customHeight="1" x14ac:dyDescent="0.3"/>
    <row r="78" ht="34.799999999999997" customHeight="1" x14ac:dyDescent="0.3"/>
    <row r="79" ht="34.799999999999997" customHeight="1" x14ac:dyDescent="0.3"/>
    <row r="80" ht="34.799999999999997" customHeight="1" x14ac:dyDescent="0.3"/>
    <row r="81" ht="34.799999999999997" customHeight="1" x14ac:dyDescent="0.3"/>
    <row r="82" ht="34.799999999999997" customHeight="1" x14ac:dyDescent="0.3"/>
    <row r="83" ht="34.799999999999997" customHeight="1" x14ac:dyDescent="0.3"/>
    <row r="84" ht="34.799999999999997" customHeight="1" x14ac:dyDescent="0.3"/>
    <row r="85" ht="34.799999999999997" customHeight="1" x14ac:dyDescent="0.3"/>
    <row r="86" ht="34.799999999999997" customHeight="1" x14ac:dyDescent="0.3"/>
    <row r="87" ht="34.799999999999997" customHeight="1" x14ac:dyDescent="0.3"/>
  </sheetData>
  <mergeCells count="15">
    <mergeCell ref="C1:L1"/>
    <mergeCell ref="N2:W2"/>
    <mergeCell ref="N11:W11"/>
    <mergeCell ref="N20:W20"/>
    <mergeCell ref="N29:W29"/>
    <mergeCell ref="C37:L37"/>
    <mergeCell ref="C32:L32"/>
    <mergeCell ref="C56:N56"/>
    <mergeCell ref="C44:N44"/>
    <mergeCell ref="M45:N45"/>
    <mergeCell ref="K45:L45"/>
    <mergeCell ref="I45:J45"/>
    <mergeCell ref="G45:H45"/>
    <mergeCell ref="E45:F45"/>
    <mergeCell ref="C45:D45"/>
  </mergeCells>
  <conditionalFormatting sqref="L4:L30">
    <cfRule type="colorScale" priority="308">
      <colorScale>
        <cfvo type="min"/>
        <cfvo type="max"/>
        <color theme="9" tint="0.79998168889431442"/>
        <color rgb="FFFF9D9D"/>
      </colorScale>
    </cfRule>
    <cfRule type="dataBar" priority="309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{B6AC743F-196C-46ED-B587-CEEB40F4FAAA}</x14:id>
        </ext>
      </extLst>
    </cfRule>
    <cfRule type="cellIs" dxfId="75" priority="310" operator="greaterThan">
      <formula>1000</formula>
    </cfRule>
    <cfRule type="cellIs" dxfId="74" priority="311" operator="between">
      <formula>700</formula>
      <formula>1000</formula>
    </cfRule>
    <cfRule type="cellIs" dxfId="73" priority="312" operator="between">
      <formula>500</formula>
      <formula>700</formula>
    </cfRule>
    <cfRule type="cellIs" dxfId="72" priority="313" operator="between">
      <formula>300</formula>
      <formula>500</formula>
    </cfRule>
    <cfRule type="cellIs" dxfId="71" priority="314" operator="lessThan">
      <formula>300</formula>
    </cfRule>
    <cfRule type="cellIs" dxfId="70" priority="315" operator="lessThan">
      <formula>300</formula>
    </cfRule>
  </conditionalFormatting>
  <conditionalFormatting sqref="K4:K30">
    <cfRule type="cellIs" dxfId="69" priority="316" operator="greaterThan">
      <formula>300</formula>
    </cfRule>
    <cfRule type="cellIs" dxfId="68" priority="317" operator="between">
      <formula>230</formula>
      <formula>300</formula>
    </cfRule>
    <cfRule type="cellIs" dxfId="67" priority="318" operator="between">
      <formula>170</formula>
      <formula>230</formula>
    </cfRule>
    <cfRule type="cellIs" dxfId="66" priority="319" operator="between">
      <formula>130</formula>
      <formula>170</formula>
    </cfRule>
    <cfRule type="cellIs" dxfId="65" priority="320" operator="between">
      <formula>70</formula>
      <formula>130</formula>
    </cfRule>
    <cfRule type="cellIs" dxfId="64" priority="322" operator="between">
      <formula>0</formula>
      <formula>80</formula>
    </cfRule>
  </conditionalFormatting>
  <conditionalFormatting sqref="D4:D30">
    <cfRule type="cellIs" dxfId="63" priority="324" operator="greaterThan">
      <formula>12</formula>
    </cfRule>
    <cfRule type="cellIs" dxfId="62" priority="325" operator="between">
      <formula>10</formula>
      <formula>12</formula>
    </cfRule>
    <cfRule type="cellIs" dxfId="61" priority="326" operator="between">
      <formula>8</formula>
      <formula>10</formula>
    </cfRule>
    <cfRule type="cellIs" dxfId="60" priority="327" operator="between">
      <formula>4</formula>
      <formula>8</formula>
    </cfRule>
    <cfRule type="cellIs" dxfId="59" priority="328" operator="between">
      <formula>0</formula>
      <formula>4</formula>
    </cfRule>
  </conditionalFormatting>
  <conditionalFormatting sqref="J4:J30">
    <cfRule type="colorScale" priority="261">
      <colorScale>
        <cfvo type="min"/>
        <cfvo type="max"/>
        <color theme="9" tint="0.79998168889431442"/>
        <color rgb="FFFF9D9D"/>
      </colorScale>
    </cfRule>
  </conditionalFormatting>
  <conditionalFormatting sqref="H4:H30">
    <cfRule type="colorScale" priority="260">
      <colorScale>
        <cfvo type="min"/>
        <cfvo type="max"/>
        <color theme="4" tint="0.59999389629810485"/>
        <color rgb="FFFF9D9D"/>
      </colorScale>
    </cfRule>
  </conditionalFormatting>
  <conditionalFormatting sqref="D34:D35">
    <cfRule type="colorScale" priority="156">
      <colorScale>
        <cfvo type="min"/>
        <cfvo type="max"/>
        <color rgb="FFFFE3D5"/>
        <color rgb="FFE4F0DC"/>
      </colorScale>
    </cfRule>
    <cfRule type="colorScale" priority="157">
      <colorScale>
        <cfvo type="min"/>
        <cfvo type="max"/>
        <color rgb="FFFF9D9D"/>
        <color theme="9" tint="0.59999389629810485"/>
      </colorScale>
    </cfRule>
  </conditionalFormatting>
  <conditionalFormatting sqref="E34:E35">
    <cfRule type="containsText" dxfId="58" priority="155" operator="containsText" text="NO">
      <formula>NOT(ISERROR(SEARCH("NO",E34)))</formula>
    </cfRule>
  </conditionalFormatting>
  <conditionalFormatting sqref="E4:F30 G58:N58">
    <cfRule type="containsText" dxfId="57" priority="153" operator="containsText" text="SI">
      <formula>NOT(ISERROR(SEARCH("SI",E4)))</formula>
    </cfRule>
    <cfRule type="containsText" dxfId="56" priority="154" operator="containsText" text="NO">
      <formula>NOT(ISERROR(SEARCH("NO",E4)))</formula>
    </cfRule>
  </conditionalFormatting>
  <conditionalFormatting sqref="E34:F35">
    <cfRule type="containsText" dxfId="55" priority="152" operator="containsText" text="SI">
      <formula>NOT(ISERROR(SEARCH("SI",E34)))</formula>
    </cfRule>
  </conditionalFormatting>
  <conditionalFormatting sqref="F34:F35">
    <cfRule type="containsText" dxfId="54" priority="151" operator="containsText" text="NO">
      <formula>NOT(ISERROR(SEARCH("NO",F34)))</formula>
    </cfRule>
  </conditionalFormatting>
  <conditionalFormatting sqref="G34:G35">
    <cfRule type="colorScale" priority="150">
      <colorScale>
        <cfvo type="min"/>
        <cfvo type="max"/>
        <color rgb="FFFFE3D5"/>
        <color rgb="FFE4F0DC"/>
      </colorScale>
    </cfRule>
  </conditionalFormatting>
  <conditionalFormatting sqref="H34:H35">
    <cfRule type="colorScale" priority="149">
      <colorScale>
        <cfvo type="min"/>
        <cfvo type="max"/>
        <color rgb="FFE4F0DC"/>
        <color rgb="FFFFE3D5"/>
      </colorScale>
    </cfRule>
  </conditionalFormatting>
  <conditionalFormatting sqref="I34:I35">
    <cfRule type="colorScale" priority="148">
      <colorScale>
        <cfvo type="min"/>
        <cfvo type="max"/>
        <color rgb="FFE4F0DC"/>
        <color rgb="FFFFE3D5"/>
      </colorScale>
    </cfRule>
  </conditionalFormatting>
  <conditionalFormatting sqref="J34:J35">
    <cfRule type="colorScale" priority="147">
      <colorScale>
        <cfvo type="min"/>
        <cfvo type="max"/>
        <color rgb="FFE4F0DC"/>
        <color rgb="FFFFE3D5"/>
      </colorScale>
    </cfRule>
  </conditionalFormatting>
  <conditionalFormatting sqref="K34:K35">
    <cfRule type="colorScale" priority="146">
      <colorScale>
        <cfvo type="min"/>
        <cfvo type="max"/>
        <color rgb="FFE4F0DC"/>
        <color rgb="FFFFE3D5"/>
      </colorScale>
    </cfRule>
  </conditionalFormatting>
  <conditionalFormatting sqref="L34:L35">
    <cfRule type="colorScale" priority="145">
      <colorScale>
        <cfvo type="min"/>
        <cfvo type="max"/>
        <color rgb="FFE4F0DC"/>
        <color rgb="FFFFE3D5"/>
      </colorScale>
    </cfRule>
  </conditionalFormatting>
  <conditionalFormatting sqref="I4:I30">
    <cfRule type="colorScale" priority="125">
      <colorScale>
        <cfvo type="min"/>
        <cfvo type="max"/>
        <color rgb="FFE4F0DC"/>
        <color rgb="FFFF9D9D"/>
      </colorScale>
    </cfRule>
  </conditionalFormatting>
  <conditionalFormatting sqref="F58">
    <cfRule type="cellIs" dxfId="53" priority="120" operator="greaterThan">
      <formula>12</formula>
    </cfRule>
    <cfRule type="cellIs" dxfId="52" priority="121" operator="between">
      <formula>10</formula>
      <formula>12</formula>
    </cfRule>
    <cfRule type="cellIs" dxfId="51" priority="122" operator="between">
      <formula>8</formula>
      <formula>10</formula>
    </cfRule>
    <cfRule type="cellIs" dxfId="50" priority="123" operator="between">
      <formula>4</formula>
      <formula>8</formula>
    </cfRule>
    <cfRule type="cellIs" dxfId="49" priority="124" operator="between">
      <formula>0</formula>
      <formula>4</formula>
    </cfRule>
  </conditionalFormatting>
  <conditionalFormatting sqref="U4:U9 U13:U18 U22:U27">
    <cfRule type="cellIs" dxfId="48" priority="27" operator="greaterThan">
      <formula>300</formula>
    </cfRule>
    <cfRule type="cellIs" dxfId="47" priority="28" operator="between">
      <formula>230</formula>
      <formula>300</formula>
    </cfRule>
    <cfRule type="cellIs" dxfId="46" priority="29" operator="between">
      <formula>170</formula>
      <formula>230</formula>
    </cfRule>
    <cfRule type="cellIs" dxfId="45" priority="30" operator="between">
      <formula>130</formula>
      <formula>170</formula>
    </cfRule>
    <cfRule type="cellIs" dxfId="44" priority="31" operator="between">
      <formula>70</formula>
      <formula>130</formula>
    </cfRule>
    <cfRule type="cellIs" dxfId="43" priority="32" operator="between">
      <formula>0</formula>
      <formula>80</formula>
    </cfRule>
  </conditionalFormatting>
  <conditionalFormatting sqref="Q22:Q27 Q13:Q18 Q4:Q9">
    <cfRule type="cellIs" dxfId="42" priority="33" operator="greaterThan">
      <formula>12</formula>
    </cfRule>
    <cfRule type="cellIs" dxfId="41" priority="34" operator="between">
      <formula>10</formula>
      <formula>12</formula>
    </cfRule>
    <cfRule type="cellIs" dxfId="40" priority="35" operator="between">
      <formula>8</formula>
      <formula>10</formula>
    </cfRule>
    <cfRule type="cellIs" dxfId="39" priority="36" operator="between">
      <formula>4</formula>
      <formula>8</formula>
    </cfRule>
    <cfRule type="cellIs" dxfId="38" priority="37" operator="between">
      <formula>0</formula>
      <formula>4</formula>
    </cfRule>
  </conditionalFormatting>
  <conditionalFormatting sqref="W4:W9">
    <cfRule type="colorScale" priority="38">
      <colorScale>
        <cfvo type="min"/>
        <cfvo type="max"/>
        <color theme="9" tint="0.79998168889431442"/>
        <color rgb="FFFF9D9D"/>
      </colorScale>
    </cfRule>
    <cfRule type="dataBar" priority="39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{6F5640CD-2518-4758-AC0E-3362EAB13E67}</x14:id>
        </ext>
      </extLst>
    </cfRule>
    <cfRule type="cellIs" dxfId="37" priority="40" operator="greaterThan">
      <formula>1000</formula>
    </cfRule>
    <cfRule type="cellIs" dxfId="36" priority="41" operator="between">
      <formula>700</formula>
      <formula>1000</formula>
    </cfRule>
    <cfRule type="cellIs" dxfId="35" priority="42" operator="between">
      <formula>500</formula>
      <formula>700</formula>
    </cfRule>
    <cfRule type="cellIs" dxfId="34" priority="43" operator="between">
      <formula>300</formula>
      <formula>500</formula>
    </cfRule>
    <cfRule type="cellIs" dxfId="33" priority="44" operator="lessThan">
      <formula>300</formula>
    </cfRule>
    <cfRule type="cellIs" dxfId="32" priority="45" operator="lessThan">
      <formula>300</formula>
    </cfRule>
  </conditionalFormatting>
  <conditionalFormatting sqref="W13:W18">
    <cfRule type="colorScale" priority="48">
      <colorScale>
        <cfvo type="min"/>
        <cfvo type="max"/>
        <color theme="9" tint="0.79998168889431442"/>
        <color rgb="FFFF9D9D"/>
      </colorScale>
    </cfRule>
    <cfRule type="dataBar" priority="49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{48C87672-D76E-4B6B-8285-6B25D1EEBC78}</x14:id>
        </ext>
      </extLst>
    </cfRule>
    <cfRule type="cellIs" dxfId="31" priority="50" operator="greaterThan">
      <formula>1000</formula>
    </cfRule>
    <cfRule type="cellIs" dxfId="30" priority="51" operator="between">
      <formula>700</formula>
      <formula>1000</formula>
    </cfRule>
    <cfRule type="cellIs" dxfId="29" priority="52" operator="between">
      <formula>500</formula>
      <formula>700</formula>
    </cfRule>
    <cfRule type="cellIs" dxfId="28" priority="53" operator="between">
      <formula>300</formula>
      <formula>500</formula>
    </cfRule>
    <cfRule type="cellIs" dxfId="27" priority="54" operator="lessThan">
      <formula>300</formula>
    </cfRule>
    <cfRule type="cellIs" dxfId="26" priority="55" operator="lessThan">
      <formula>300</formula>
    </cfRule>
  </conditionalFormatting>
  <conditionalFormatting sqref="V13:V18">
    <cfRule type="colorScale" priority="26">
      <colorScale>
        <cfvo type="min"/>
        <cfvo type="max"/>
        <color theme="9" tint="0.59999389629810485"/>
        <color theme="5" tint="0.59999389629810485"/>
      </colorScale>
    </cfRule>
  </conditionalFormatting>
  <conditionalFormatting sqref="V4:V9">
    <cfRule type="colorScale" priority="58">
      <colorScale>
        <cfvo type="min"/>
        <cfvo type="max"/>
        <color theme="9" tint="0.59999389629810485"/>
        <color rgb="FFFF9D9D"/>
      </colorScale>
    </cfRule>
    <cfRule type="colorScale" priority="59">
      <colorScale>
        <cfvo type="min"/>
        <cfvo type="max"/>
        <color theme="5" tint="0.59999389629810485"/>
        <color theme="9" tint="0.59999389629810485"/>
      </colorScale>
    </cfRule>
  </conditionalFormatting>
  <conditionalFormatting sqref="W22:W27">
    <cfRule type="colorScale" priority="60">
      <colorScale>
        <cfvo type="min"/>
        <cfvo type="max"/>
        <color theme="9" tint="0.79998168889431442"/>
        <color rgb="FFFF9D9D"/>
      </colorScale>
    </cfRule>
    <cfRule type="dataBar" priority="61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{301AD2B0-01CF-402E-865C-8476B1252788}</x14:id>
        </ext>
      </extLst>
    </cfRule>
    <cfRule type="cellIs" dxfId="25" priority="62" operator="greaterThan">
      <formula>1000</formula>
    </cfRule>
    <cfRule type="cellIs" dxfId="24" priority="63" operator="between">
      <formula>700</formula>
      <formula>1000</formula>
    </cfRule>
    <cfRule type="cellIs" dxfId="23" priority="64" operator="between">
      <formula>500</formula>
      <formula>700</formula>
    </cfRule>
    <cfRule type="cellIs" dxfId="22" priority="65" operator="between">
      <formula>300</formula>
      <formula>500</formula>
    </cfRule>
    <cfRule type="cellIs" dxfId="21" priority="66" operator="lessThan">
      <formula>300</formula>
    </cfRule>
    <cfRule type="cellIs" dxfId="20" priority="67" operator="lessThan">
      <formula>300</formula>
    </cfRule>
  </conditionalFormatting>
  <conditionalFormatting sqref="V22:V27">
    <cfRule type="colorScale" priority="68">
      <colorScale>
        <cfvo type="min"/>
        <cfvo type="max"/>
        <color theme="9" tint="0.79998168889431442"/>
        <color rgb="FFFF9D9D"/>
      </colorScale>
    </cfRule>
  </conditionalFormatting>
  <conditionalFormatting sqref="O22:O27">
    <cfRule type="colorScale" priority="71">
      <colorScale>
        <cfvo type="min"/>
        <cfvo type="max"/>
        <color theme="4" tint="0.59999389629810485"/>
        <color rgb="FFFF9D9D"/>
      </colorScale>
    </cfRule>
  </conditionalFormatting>
  <conditionalFormatting sqref="O13:O18">
    <cfRule type="colorScale" priority="25">
      <colorScale>
        <cfvo type="min"/>
        <cfvo type="max"/>
        <color theme="4" tint="0.59999389629810485"/>
        <color rgb="FFFF9D9D"/>
      </colorScale>
    </cfRule>
  </conditionalFormatting>
  <conditionalFormatting sqref="O4:O9">
    <cfRule type="colorScale" priority="24">
      <colorScale>
        <cfvo type="min"/>
        <cfvo type="max"/>
        <color theme="4" tint="0.59999389629810485"/>
        <color rgb="FFFF9D9D"/>
      </colorScale>
    </cfRule>
  </conditionalFormatting>
  <conditionalFormatting sqref="W31:W41">
    <cfRule type="colorScale" priority="3">
      <colorScale>
        <cfvo type="min"/>
        <cfvo type="max"/>
        <color theme="9" tint="0.79998168889431442"/>
        <color rgb="FFFF9D9D"/>
      </colorScale>
    </cfRule>
    <cfRule type="dataBar" priority="4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{65148005-5C3D-4446-8898-45DD1DA27E37}</x14:id>
        </ext>
      </extLst>
    </cfRule>
    <cfRule type="cellIs" dxfId="19" priority="5" operator="greaterThan">
      <formula>1000</formula>
    </cfRule>
    <cfRule type="cellIs" dxfId="18" priority="6" operator="between">
      <formula>700</formula>
      <formula>1000</formula>
    </cfRule>
    <cfRule type="cellIs" dxfId="17" priority="7" operator="between">
      <formula>500</formula>
      <formula>700</formula>
    </cfRule>
    <cfRule type="cellIs" dxfId="16" priority="8" operator="between">
      <formula>300</formula>
      <formula>500</formula>
    </cfRule>
    <cfRule type="cellIs" dxfId="15" priority="9" operator="lessThan">
      <formula>300</formula>
    </cfRule>
    <cfRule type="cellIs" dxfId="14" priority="10" operator="lessThan">
      <formula>300</formula>
    </cfRule>
  </conditionalFormatting>
  <conditionalFormatting sqref="U31:U41">
    <cfRule type="cellIs" dxfId="13" priority="11" operator="greaterThan">
      <formula>300</formula>
    </cfRule>
    <cfRule type="cellIs" dxfId="12" priority="12" operator="between">
      <formula>230</formula>
      <formula>300</formula>
    </cfRule>
    <cfRule type="cellIs" dxfId="11" priority="13" operator="between">
      <formula>170</formula>
      <formula>230</formula>
    </cfRule>
    <cfRule type="cellIs" dxfId="10" priority="14" operator="between">
      <formula>130</formula>
      <formula>170</formula>
    </cfRule>
    <cfRule type="cellIs" dxfId="9" priority="15" operator="between">
      <formula>70</formula>
      <formula>130</formula>
    </cfRule>
    <cfRule type="cellIs" dxfId="8" priority="17" operator="between">
      <formula>0</formula>
      <formula>80</formula>
    </cfRule>
  </conditionalFormatting>
  <conditionalFormatting sqref="Q31:Q41">
    <cfRule type="cellIs" dxfId="7" priority="19" operator="greaterThan">
      <formula>12</formula>
    </cfRule>
    <cfRule type="cellIs" dxfId="6" priority="20" operator="between">
      <formula>10</formula>
      <formula>12</formula>
    </cfRule>
    <cfRule type="cellIs" dxfId="5" priority="21" operator="between">
      <formula>8</formula>
      <formula>10</formula>
    </cfRule>
    <cfRule type="cellIs" dxfId="4" priority="22" operator="between">
      <formula>4</formula>
      <formula>8</formula>
    </cfRule>
    <cfRule type="cellIs" dxfId="3" priority="23" operator="between">
      <formula>0</formula>
      <formula>4</formula>
    </cfRule>
  </conditionalFormatting>
  <conditionalFormatting sqref="O31:O35">
    <cfRule type="colorScale" priority="2">
      <colorScale>
        <cfvo type="min"/>
        <cfvo type="max"/>
        <color theme="4" tint="0.59999389629810485"/>
        <color rgb="FFFF9D9D"/>
      </colorScale>
    </cfRule>
  </conditionalFormatting>
  <conditionalFormatting sqref="O36:O41">
    <cfRule type="colorScale" priority="72">
      <colorScale>
        <cfvo type="min"/>
        <cfvo type="max"/>
        <color theme="4" tint="0.59999389629810485"/>
        <color rgb="FFFF9D9D"/>
      </colorScale>
    </cfRule>
  </conditionalFormatting>
  <conditionalFormatting sqref="V31:V41">
    <cfRule type="colorScale" priority="1">
      <colorScale>
        <cfvo type="min"/>
        <cfvo type="max"/>
        <color theme="9" tint="0.59999389629810485"/>
        <color rgb="FFFF9D9D"/>
      </colorScale>
    </cfRule>
  </conditionalFormatting>
  <dataValidations count="2">
    <dataValidation type="list" allowBlank="1" showInputMessage="1" showErrorMessage="1" sqref="C34:C35 N31:N41 N13:N18 N22:N27 N4:N9" xr:uid="{8940907F-E218-4A56-B133-AC5AFA71198C}">
      <formula1>$C$4:$C$30</formula1>
    </dataValidation>
    <dataValidation type="decimal" allowBlank="1" showInputMessage="1" showErrorMessage="1" sqref="G4:J30" xr:uid="{847FBA7E-0FEB-43BC-8262-A7BDF1724D68}">
      <formula1>0</formula1>
      <formula2>30000</formula2>
    </dataValidation>
  </dataValidations>
  <pageMargins left="0.7" right="0.7" top="0.75" bottom="0.75" header="0.3" footer="0.3"/>
  <pageSetup paperSize="9" orientation="portrait" r:id="rId1"/>
  <ignoredErrors>
    <ignoredError sqref="E34:E35 D34:D36 F34:F35 G35:L35 I36:L36 F36:H36 G34:I34 J34:L34" calculatedColumn="1"/>
  </ignoredErrors>
  <drawing r:id="rId2"/>
  <legacyDrawing r:id="rId3"/>
  <controls>
    <mc:AlternateContent xmlns:mc="http://schemas.openxmlformats.org/markup-compatibility/2006">
      <mc:Choice Requires="x14">
        <control shapeId="3085" r:id="rId4" name="TextBox1">
          <controlPr defaultSize="0" autoLine="0" autoPict="0" linkedCell="D2" r:id="rId5">
            <anchor moveWithCells="1">
              <from>
                <xdr:col>3</xdr:col>
                <xdr:colOff>30480</xdr:colOff>
                <xdr:row>1</xdr:row>
                <xdr:rowOff>15240</xdr:rowOff>
              </from>
              <to>
                <xdr:col>11</xdr:col>
                <xdr:colOff>1371600</xdr:colOff>
                <xdr:row>1</xdr:row>
                <xdr:rowOff>388620</xdr:rowOff>
              </to>
            </anchor>
          </controlPr>
        </control>
      </mc:Choice>
      <mc:Fallback>
        <control shapeId="3085" r:id="rId4" name="TextBox1"/>
      </mc:Fallback>
    </mc:AlternateContent>
  </controls>
  <tableParts count="6"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6AC743F-196C-46ED-B587-CEEB40F4FA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L4:L30</xm:sqref>
        </x14:conditionalFormatting>
        <x14:conditionalFormatting xmlns:xm="http://schemas.microsoft.com/office/excel/2006/main">
          <x14:cfRule type="iconSet" priority="321" id="{907AB97A-BA20-4A17-815D-828812D60558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250</xm:f>
              </x14:cfvo>
              <x14:cfIcon iconSet="NoIcons" iconId="0"/>
              <x14:cfIcon iconSet="NoIcons" iconId="0"/>
              <x14:cfIcon iconSet="3Symbols" iconId="1"/>
            </x14:iconSet>
          </x14:cfRule>
          <xm:sqref>K4:K30</xm:sqref>
        </x14:conditionalFormatting>
        <x14:conditionalFormatting xmlns:xm="http://schemas.microsoft.com/office/excel/2006/main">
          <x14:cfRule type="iconSet" priority="323" id="{2E6C3782-F59E-44E2-9C46-D42E8801F6E0}">
            <x14:iconSet custom="1">
              <x14:cfvo type="percent">
                <xm:f>0</xm:f>
              </x14:cfvo>
              <x14:cfvo type="num" gte="0">
                <xm:f>4</xm:f>
              </x14:cfvo>
              <x14:cfvo type="num" gte="0">
                <xm:f>4</xm:f>
              </x14:cfvo>
              <x14:cfIcon iconSet="3Symbols" iconId="1"/>
              <x14:cfIcon iconSet="NoIcons" iconId="0"/>
              <x14:cfIcon iconSet="NoIcons" iconId="0"/>
            </x14:iconSet>
          </x14:cfRule>
          <xm:sqref>D4:D30</xm:sqref>
        </x14:conditionalFormatting>
        <x14:conditionalFormatting xmlns:xm="http://schemas.microsoft.com/office/excel/2006/main">
          <x14:cfRule type="iconSet" priority="119" id="{7C1B8BF4-B401-419C-9A29-BB81CDABAE2F}">
            <x14:iconSet custom="1">
              <x14:cfvo type="percent">
                <xm:f>0</xm:f>
              </x14:cfvo>
              <x14:cfvo type="num" gte="0">
                <xm:f>4</xm:f>
              </x14:cfvo>
              <x14:cfvo type="num" gte="0">
                <xm:f>4</xm:f>
              </x14:cfvo>
              <x14:cfIcon iconSet="3Symbols" iconId="1"/>
              <x14:cfIcon iconSet="NoIcons" iconId="0"/>
              <x14:cfIcon iconSet="NoIcons" iconId="0"/>
            </x14:iconSet>
          </x14:cfRule>
          <xm:sqref>F58</xm:sqref>
        </x14:conditionalFormatting>
        <x14:conditionalFormatting xmlns:xm="http://schemas.microsoft.com/office/excel/2006/main">
          <x14:cfRule type="dataBar" id="{6F5640CD-2518-4758-AC0E-3362EAB13E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W4:W9</xm:sqref>
        </x14:conditionalFormatting>
        <x14:conditionalFormatting xmlns:xm="http://schemas.microsoft.com/office/excel/2006/main">
          <x14:cfRule type="dataBar" id="{48C87672-D76E-4B6B-8285-6B25D1EEBC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W13:W18</xm:sqref>
        </x14:conditionalFormatting>
        <x14:conditionalFormatting xmlns:xm="http://schemas.microsoft.com/office/excel/2006/main">
          <x14:cfRule type="dataBar" id="{301AD2B0-01CF-402E-865C-8476B12527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W22:W27</xm:sqref>
        </x14:conditionalFormatting>
        <x14:conditionalFormatting xmlns:xm="http://schemas.microsoft.com/office/excel/2006/main">
          <x14:cfRule type="dataBar" id="{65148005-5C3D-4446-8898-45DD1DA27E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W31:W41</xm:sqref>
        </x14:conditionalFormatting>
        <x14:conditionalFormatting xmlns:xm="http://schemas.microsoft.com/office/excel/2006/main">
          <x14:cfRule type="iconSet" priority="46" id="{144F9CE8-B03C-4528-B801-5B07477B66AA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250</xm:f>
              </x14:cfvo>
              <x14:cfIcon iconSet="NoIcons" iconId="0"/>
              <x14:cfIcon iconSet="NoIcons" iconId="0"/>
              <x14:cfIcon iconSet="3Symbols" iconId="1"/>
            </x14:iconSet>
          </x14:cfRule>
          <xm:sqref>U4:U9</xm:sqref>
        </x14:conditionalFormatting>
        <x14:conditionalFormatting xmlns:xm="http://schemas.microsoft.com/office/excel/2006/main">
          <x14:cfRule type="iconSet" priority="47" id="{C6674260-11A9-41E2-8256-FA5411802450}">
            <x14:iconSet custom="1">
              <x14:cfvo type="percent">
                <xm:f>0</xm:f>
              </x14:cfvo>
              <x14:cfvo type="num" gte="0">
                <xm:f>4</xm:f>
              </x14:cfvo>
              <x14:cfvo type="num" gte="0">
                <xm:f>4</xm:f>
              </x14:cfvo>
              <x14:cfIcon iconSet="3Symbols" iconId="1"/>
              <x14:cfIcon iconSet="NoIcons" iconId="0"/>
              <x14:cfIcon iconSet="NoIcons" iconId="0"/>
            </x14:iconSet>
          </x14:cfRule>
          <xm:sqref>Q4:Q9</xm:sqref>
        </x14:conditionalFormatting>
        <x14:conditionalFormatting xmlns:xm="http://schemas.microsoft.com/office/excel/2006/main">
          <x14:cfRule type="iconSet" priority="56" id="{A5F312D2-ABBD-45C6-BE5F-F1B9CCE27180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250</xm:f>
              </x14:cfvo>
              <x14:cfIcon iconSet="NoIcons" iconId="0"/>
              <x14:cfIcon iconSet="NoIcons" iconId="0"/>
              <x14:cfIcon iconSet="3Symbols" iconId="1"/>
            </x14:iconSet>
          </x14:cfRule>
          <xm:sqref>U13:U18</xm:sqref>
        </x14:conditionalFormatting>
        <x14:conditionalFormatting xmlns:xm="http://schemas.microsoft.com/office/excel/2006/main">
          <x14:cfRule type="iconSet" priority="57" id="{D2B6EA73-FBCA-43B5-ABAE-310EF5267EFC}">
            <x14:iconSet custom="1">
              <x14:cfvo type="percent">
                <xm:f>0</xm:f>
              </x14:cfvo>
              <x14:cfvo type="num" gte="0">
                <xm:f>4</xm:f>
              </x14:cfvo>
              <x14:cfvo type="num" gte="0">
                <xm:f>4</xm:f>
              </x14:cfvo>
              <x14:cfIcon iconSet="3Symbols" iconId="1"/>
              <x14:cfIcon iconSet="NoIcons" iconId="0"/>
              <x14:cfIcon iconSet="NoIcons" iconId="0"/>
            </x14:iconSet>
          </x14:cfRule>
          <xm:sqref>Q13:Q18</xm:sqref>
        </x14:conditionalFormatting>
        <x14:conditionalFormatting xmlns:xm="http://schemas.microsoft.com/office/excel/2006/main">
          <x14:cfRule type="iconSet" priority="69" id="{1CBB0F1F-074D-4845-AF27-183EC0DB2B97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250</xm:f>
              </x14:cfvo>
              <x14:cfIcon iconSet="NoIcons" iconId="0"/>
              <x14:cfIcon iconSet="NoIcons" iconId="0"/>
              <x14:cfIcon iconSet="3Symbols" iconId="1"/>
            </x14:iconSet>
          </x14:cfRule>
          <xm:sqref>U22:U27</xm:sqref>
        </x14:conditionalFormatting>
        <x14:conditionalFormatting xmlns:xm="http://schemas.microsoft.com/office/excel/2006/main">
          <x14:cfRule type="iconSet" priority="70" id="{891C3D67-870F-492D-AAB2-E9EEDF0481B8}">
            <x14:iconSet custom="1">
              <x14:cfvo type="percent">
                <xm:f>0</xm:f>
              </x14:cfvo>
              <x14:cfvo type="num" gte="0">
                <xm:f>4</xm:f>
              </x14:cfvo>
              <x14:cfvo type="num" gte="0">
                <xm:f>4</xm:f>
              </x14:cfvo>
              <x14:cfIcon iconSet="3Symbols" iconId="1"/>
              <x14:cfIcon iconSet="NoIcons" iconId="0"/>
              <x14:cfIcon iconSet="NoIcons" iconId="0"/>
            </x14:iconSet>
          </x14:cfRule>
          <xm:sqref>Q22:Q27</xm:sqref>
        </x14:conditionalFormatting>
        <x14:conditionalFormatting xmlns:xm="http://schemas.microsoft.com/office/excel/2006/main">
          <x14:cfRule type="iconSet" priority="16" id="{E297AC90-4765-40CB-B24E-717016ED0898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250</xm:f>
              </x14:cfvo>
              <x14:cfIcon iconSet="NoIcons" iconId="0"/>
              <x14:cfIcon iconSet="NoIcons" iconId="0"/>
              <x14:cfIcon iconSet="3Symbols" iconId="1"/>
            </x14:iconSet>
          </x14:cfRule>
          <xm:sqref>U31:U41</xm:sqref>
        </x14:conditionalFormatting>
        <x14:conditionalFormatting xmlns:xm="http://schemas.microsoft.com/office/excel/2006/main">
          <x14:cfRule type="iconSet" priority="18" id="{F3E1B6EF-0031-4835-B599-6EADBA970048}">
            <x14:iconSet custom="1">
              <x14:cfvo type="percent">
                <xm:f>0</xm:f>
              </x14:cfvo>
              <x14:cfvo type="num" gte="0">
                <xm:f>4</xm:f>
              </x14:cfvo>
              <x14:cfvo type="num" gte="0">
                <xm:f>4</xm:f>
              </x14:cfvo>
              <x14:cfIcon iconSet="3Symbols" iconId="1"/>
              <x14:cfIcon iconSet="NoIcons" iconId="0"/>
              <x14:cfIcon iconSet="NoIcons" iconId="0"/>
            </x14:iconSet>
          </x14:cfRule>
          <xm:sqref>Q31:Q41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GPU</vt:lpstr>
      <vt:lpstr>Rendiment</vt:lpstr>
      <vt:lpstr>Recomendador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cp:lastPrinted>2023-03-18T20:19:50Z</cp:lastPrinted>
  <dcterms:created xsi:type="dcterms:W3CDTF">2022-11-25T13:08:05Z</dcterms:created>
  <dcterms:modified xsi:type="dcterms:W3CDTF">2023-03-18T20:23:40Z</dcterms:modified>
</cp:coreProperties>
</file>